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.h/Documents/Arbeitsprobe/"/>
    </mc:Choice>
  </mc:AlternateContent>
  <xr:revisionPtr revIDLastSave="0" documentId="8_{08A6F2F9-884C-284E-AF34-A3B567509A1E}" xr6:coauthVersionLast="47" xr6:coauthVersionMax="47" xr10:uidLastSave="{00000000-0000-0000-0000-000000000000}"/>
  <bookViews>
    <workbookView xWindow="0" yWindow="780" windowWidth="38400" windowHeight="22760" xr2:uid="{B20B0F22-2D39-0B44-B121-B32FA811EC1F}"/>
  </bookViews>
  <sheets>
    <sheet name="Hensoldt AG" sheetId="6" r:id="rId1"/>
    <sheet name="Inputs" sheetId="1" r:id="rId2"/>
    <sheet name="IS Neu" sheetId="15" r:id="rId3"/>
    <sheet name="BS Neu" sheetId="13" r:id="rId4"/>
    <sheet name="CF Neu " sheetId="14" r:id="rId5"/>
    <sheet name="Revenue &amp; Expenses (updated)" sheetId="11" r:id="rId6"/>
    <sheet name="FA-Forecast (updated)" sheetId="7" r:id="rId7"/>
    <sheet name="WC &amp; other Assets (updated) " sheetId="8" r:id="rId8"/>
    <sheet name="Debt &amp; Cash" sheetId="9" r:id="rId9"/>
    <sheet name="DCF Valuation " sheetId="10" r:id="rId10"/>
    <sheet name="Competitors KPI's" sheetId="12" r:id="rId11"/>
    <sheet name="IS" sheetId="2" state="hidden" r:id="rId12"/>
  </sheets>
  <definedNames>
    <definedName name="_xlchart.v5.0" hidden="1">'DCF Valuation '!$M$19:$R$19</definedName>
    <definedName name="_xlchart.v5.1" hidden="1">'DCF Valuation '!$M$4:$Q$4</definedName>
    <definedName name="_xlchart.v5.2" hidden="1">'DCF Valuation '!$M$4:$R$4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8" l="1"/>
  <c r="Y44" i="11"/>
  <c r="E33" i="15"/>
  <c r="F33" i="15"/>
  <c r="G33" i="15"/>
  <c r="H33" i="15"/>
  <c r="I33" i="15"/>
  <c r="D33" i="15"/>
  <c r="G50" i="12"/>
  <c r="I45" i="12"/>
  <c r="I46" i="12"/>
  <c r="I47" i="12"/>
  <c r="I48" i="12"/>
  <c r="I49" i="12"/>
  <c r="I50" i="12"/>
  <c r="I44" i="12"/>
  <c r="H45" i="12"/>
  <c r="H46" i="12"/>
  <c r="H47" i="12"/>
  <c r="H48" i="12"/>
  <c r="H49" i="12"/>
  <c r="H50" i="12"/>
  <c r="H44" i="12"/>
  <c r="G45" i="12"/>
  <c r="G46" i="12"/>
  <c r="G47" i="12"/>
  <c r="G48" i="12"/>
  <c r="G49" i="12"/>
  <c r="G44" i="12"/>
  <c r="F45" i="12"/>
  <c r="F46" i="12"/>
  <c r="F47" i="12"/>
  <c r="F48" i="12"/>
  <c r="F49" i="12"/>
  <c r="F50" i="12"/>
  <c r="F44" i="12"/>
  <c r="E45" i="12"/>
  <c r="E46" i="12"/>
  <c r="E47" i="12"/>
  <c r="E48" i="12"/>
  <c r="E49" i="12"/>
  <c r="E50" i="12"/>
  <c r="E44" i="12"/>
  <c r="D45" i="12"/>
  <c r="D46" i="12"/>
  <c r="D47" i="12"/>
  <c r="D48" i="12"/>
  <c r="D49" i="12"/>
  <c r="D50" i="12"/>
  <c r="D44" i="12"/>
  <c r="C50" i="12"/>
  <c r="C49" i="12"/>
  <c r="C48" i="12"/>
  <c r="C47" i="12"/>
  <c r="C46" i="12"/>
  <c r="C45" i="12"/>
  <c r="C44" i="12"/>
  <c r="D39" i="12"/>
  <c r="E39" i="12"/>
  <c r="F39" i="12"/>
  <c r="G39" i="12"/>
  <c r="D40" i="12"/>
  <c r="E40" i="12"/>
  <c r="F40" i="12"/>
  <c r="G40" i="12"/>
  <c r="C40" i="12"/>
  <c r="C39" i="12"/>
  <c r="E35" i="12"/>
  <c r="G34" i="12"/>
  <c r="G36" i="12"/>
  <c r="C31" i="12"/>
  <c r="C32" i="12"/>
  <c r="C33" i="12"/>
  <c r="C34" i="12"/>
  <c r="C36" i="12"/>
  <c r="C37" i="12"/>
  <c r="D36" i="12"/>
  <c r="D34" i="12"/>
  <c r="D33" i="12"/>
  <c r="D32" i="12"/>
  <c r="O67" i="11"/>
  <c r="E30" i="10"/>
  <c r="K29" i="9" l="1"/>
  <c r="D153" i="9"/>
  <c r="G151" i="9"/>
  <c r="H151" i="9"/>
  <c r="I151" i="9"/>
  <c r="J151" i="9"/>
  <c r="K151" i="9"/>
  <c r="F151" i="9"/>
  <c r="G149" i="9"/>
  <c r="H149" i="9"/>
  <c r="I149" i="9"/>
  <c r="J149" i="9"/>
  <c r="F149" i="9"/>
  <c r="G148" i="9"/>
  <c r="H148" i="9"/>
  <c r="I148" i="9"/>
  <c r="J148" i="9"/>
  <c r="F148" i="9"/>
  <c r="L68" i="7"/>
  <c r="V5" i="11"/>
  <c r="V4" i="11"/>
  <c r="H122" i="8"/>
  <c r="I122" i="8"/>
  <c r="J122" i="8"/>
  <c r="K122" i="8"/>
  <c r="L122" i="8"/>
  <c r="G122" i="8"/>
  <c r="H121" i="8"/>
  <c r="I121" i="8"/>
  <c r="J121" i="8"/>
  <c r="K121" i="8"/>
  <c r="L121" i="8"/>
  <c r="M121" i="8"/>
  <c r="N121" i="8"/>
  <c r="O121" i="8"/>
  <c r="P121" i="8"/>
  <c r="Q121" i="8"/>
  <c r="G121" i="8"/>
  <c r="H119" i="8"/>
  <c r="H123" i="8" s="1"/>
  <c r="I119" i="8"/>
  <c r="I123" i="8" s="1"/>
  <c r="I124" i="8" s="1"/>
  <c r="J119" i="8"/>
  <c r="K119" i="8"/>
  <c r="L119" i="8"/>
  <c r="H120" i="8"/>
  <c r="I120" i="8"/>
  <c r="J120" i="8"/>
  <c r="K120" i="8"/>
  <c r="L120" i="8"/>
  <c r="G119" i="8"/>
  <c r="G120" i="8"/>
  <c r="H109" i="8"/>
  <c r="I109" i="8"/>
  <c r="J109" i="8"/>
  <c r="K109" i="8"/>
  <c r="L109" i="8"/>
  <c r="G110" i="8"/>
  <c r="G109" i="8"/>
  <c r="G117" i="8"/>
  <c r="K17" i="13"/>
  <c r="L17" i="13" s="1"/>
  <c r="M17" i="13" s="1"/>
  <c r="N17" i="13" s="1"/>
  <c r="J17" i="13"/>
  <c r="G87" i="7"/>
  <c r="L69" i="7"/>
  <c r="H88" i="7"/>
  <c r="I88" i="7"/>
  <c r="J88" i="7"/>
  <c r="K88" i="7"/>
  <c r="L88" i="7"/>
  <c r="G88" i="7"/>
  <c r="K16" i="13"/>
  <c r="L16" i="13" s="1"/>
  <c r="M16" i="13" s="1"/>
  <c r="N16" i="13" s="1"/>
  <c r="J16" i="13"/>
  <c r="F107" i="9"/>
  <c r="G107" i="9"/>
  <c r="H107" i="9"/>
  <c r="I107" i="9"/>
  <c r="J107" i="9"/>
  <c r="E107" i="9"/>
  <c r="L123" i="8" l="1"/>
  <c r="K123" i="8"/>
  <c r="G123" i="8"/>
  <c r="H124" i="8" s="1"/>
  <c r="J123" i="8"/>
  <c r="J124" i="8" s="1"/>
  <c r="K124" i="8" l="1"/>
  <c r="L124" i="8"/>
  <c r="G92" i="8"/>
  <c r="V10" i="11"/>
  <c r="Q51" i="11" s="1"/>
  <c r="E107" i="7"/>
  <c r="E108" i="7"/>
  <c r="F108" i="7"/>
  <c r="G108" i="7"/>
  <c r="E106" i="7"/>
  <c r="E109" i="7" s="1"/>
  <c r="F106" i="7"/>
  <c r="F107" i="7" s="1"/>
  <c r="G106" i="7"/>
  <c r="G107" i="7" s="1"/>
  <c r="H106" i="7"/>
  <c r="H107" i="7" s="1"/>
  <c r="I106" i="7"/>
  <c r="I108" i="7" s="1"/>
  <c r="D106" i="7"/>
  <c r="D107" i="7" s="1"/>
  <c r="V4" i="8"/>
  <c r="N17" i="8" s="1"/>
  <c r="I100" i="7"/>
  <c r="I101" i="7"/>
  <c r="D100" i="7"/>
  <c r="E99" i="7"/>
  <c r="E101" i="7" s="1"/>
  <c r="F99" i="7"/>
  <c r="F101" i="7" s="1"/>
  <c r="G99" i="7"/>
  <c r="G101" i="7" s="1"/>
  <c r="H99" i="7"/>
  <c r="H102" i="7" s="1"/>
  <c r="I99" i="7"/>
  <c r="I102" i="7" s="1"/>
  <c r="D99" i="7"/>
  <c r="D102" i="7" s="1"/>
  <c r="V9" i="11"/>
  <c r="N50" i="11" s="1"/>
  <c r="V8" i="11"/>
  <c r="M48" i="11" s="1"/>
  <c r="V7" i="11"/>
  <c r="V6" i="11"/>
  <c r="M18" i="11"/>
  <c r="M22" i="11" s="1"/>
  <c r="P16" i="11"/>
  <c r="V6" i="7"/>
  <c r="V5" i="7"/>
  <c r="N73" i="7" s="1"/>
  <c r="V4" i="7"/>
  <c r="M64" i="7" s="1"/>
  <c r="V12" i="8"/>
  <c r="V11" i="8"/>
  <c r="V9" i="8"/>
  <c r="N33" i="8" s="1"/>
  <c r="V8" i="8"/>
  <c r="O35" i="8" s="1"/>
  <c r="V7" i="8"/>
  <c r="M24" i="8" s="1"/>
  <c r="V6" i="8"/>
  <c r="M26" i="8" s="1"/>
  <c r="U4" i="9"/>
  <c r="S4" i="9"/>
  <c r="S5" i="9"/>
  <c r="S6" i="9"/>
  <c r="S7" i="9"/>
  <c r="S9" i="9"/>
  <c r="S10" i="9"/>
  <c r="S11" i="9"/>
  <c r="D36" i="9"/>
  <c r="D43" i="9"/>
  <c r="M40" i="7"/>
  <c r="N40" i="7" s="1"/>
  <c r="O40" i="7" s="1"/>
  <c r="P40" i="7" s="1"/>
  <c r="Q40" i="7" s="1"/>
  <c r="K33" i="10"/>
  <c r="K32" i="10"/>
  <c r="E27" i="10"/>
  <c r="N12" i="10"/>
  <c r="O12" i="10"/>
  <c r="P12" i="10"/>
  <c r="Q12" i="10"/>
  <c r="M12" i="10"/>
  <c r="F63" i="9"/>
  <c r="G63" i="9"/>
  <c r="H63" i="9"/>
  <c r="I63" i="9"/>
  <c r="E63" i="9"/>
  <c r="M100" i="8"/>
  <c r="H92" i="8"/>
  <c r="I92" i="8"/>
  <c r="J92" i="8"/>
  <c r="K92" i="8"/>
  <c r="L92" i="8"/>
  <c r="G94" i="8" a="1"/>
  <c r="G94" i="8" s="1"/>
  <c r="G95" i="8" a="1"/>
  <c r="G95" i="8" s="1"/>
  <c r="G96" i="8" a="1"/>
  <c r="G96" i="8" s="1"/>
  <c r="G97" i="8" a="1"/>
  <c r="G97" i="8" s="1"/>
  <c r="G93" i="8" a="1"/>
  <c r="G93" i="8" s="1"/>
  <c r="G18" i="14"/>
  <c r="G17" i="14"/>
  <c r="E103" i="9"/>
  <c r="F103" i="9"/>
  <c r="G103" i="9"/>
  <c r="H103" i="9"/>
  <c r="I103" i="9"/>
  <c r="J103" i="9"/>
  <c r="F113" i="9"/>
  <c r="G113" i="9"/>
  <c r="H113" i="9"/>
  <c r="I113" i="9"/>
  <c r="J113" i="9"/>
  <c r="E113" i="9"/>
  <c r="F38" i="9"/>
  <c r="G38" i="9"/>
  <c r="H38" i="9"/>
  <c r="I38" i="9"/>
  <c r="J38" i="9"/>
  <c r="F39" i="9"/>
  <c r="G39" i="9"/>
  <c r="H39" i="9"/>
  <c r="I39" i="9"/>
  <c r="J39" i="9"/>
  <c r="E39" i="9"/>
  <c r="E38" i="9"/>
  <c r="L29" i="9"/>
  <c r="M29" i="9"/>
  <c r="L30" i="9"/>
  <c r="M30" i="9"/>
  <c r="L31" i="9"/>
  <c r="M31" i="9"/>
  <c r="K31" i="9"/>
  <c r="K30" i="9"/>
  <c r="L34" i="9"/>
  <c r="K34" i="9"/>
  <c r="L33" i="9"/>
  <c r="K33" i="9"/>
  <c r="K32" i="9"/>
  <c r="L78" i="9"/>
  <c r="L83" i="9" s="1"/>
  <c r="L15" i="9" s="1"/>
  <c r="M78" i="9"/>
  <c r="M83" i="9" s="1"/>
  <c r="M15" i="9" s="1"/>
  <c r="N78" i="9"/>
  <c r="N83" i="9" s="1"/>
  <c r="N15" i="9" s="1"/>
  <c r="O78" i="9"/>
  <c r="O83" i="9" s="1"/>
  <c r="O15" i="9" s="1"/>
  <c r="K78" i="9"/>
  <c r="M14" i="7"/>
  <c r="Q100" i="8"/>
  <c r="U37" i="11"/>
  <c r="U38" i="11"/>
  <c r="G58" i="7"/>
  <c r="H30" i="7"/>
  <c r="I30" i="7"/>
  <c r="J30" i="7"/>
  <c r="K30" i="7"/>
  <c r="L30" i="7"/>
  <c r="G30" i="7"/>
  <c r="L58" i="7"/>
  <c r="H14" i="7"/>
  <c r="I14" i="7"/>
  <c r="J14" i="7"/>
  <c r="K14" i="7"/>
  <c r="G14" i="7"/>
  <c r="E31" i="15"/>
  <c r="F31" i="15"/>
  <c r="G31" i="15"/>
  <c r="H31" i="15"/>
  <c r="I31" i="15"/>
  <c r="D31" i="15"/>
  <c r="D23" i="15"/>
  <c r="E104" i="9" s="1"/>
  <c r="E127" i="9" s="1"/>
  <c r="D21" i="15"/>
  <c r="E21" i="15"/>
  <c r="F21" i="15"/>
  <c r="G21" i="15"/>
  <c r="H21" i="15"/>
  <c r="I21" i="15"/>
  <c r="E13" i="15"/>
  <c r="H15" i="8" s="1"/>
  <c r="F13" i="15"/>
  <c r="I15" i="8" s="1"/>
  <c r="G13" i="15"/>
  <c r="J15" i="8" s="1"/>
  <c r="H13" i="15"/>
  <c r="K56" i="11" s="1"/>
  <c r="I13" i="15"/>
  <c r="D13" i="15"/>
  <c r="D28" i="15"/>
  <c r="D27" i="15" s="1"/>
  <c r="D26" i="15"/>
  <c r="D25" i="15"/>
  <c r="D20" i="15"/>
  <c r="D19" i="15"/>
  <c r="D17" i="15"/>
  <c r="D16" i="15"/>
  <c r="D15" i="15"/>
  <c r="E12" i="15"/>
  <c r="F106" i="9" s="1"/>
  <c r="F108" i="9" s="1"/>
  <c r="F12" i="15"/>
  <c r="G106" i="9" s="1"/>
  <c r="G108" i="9" s="1"/>
  <c r="G12" i="15"/>
  <c r="H106" i="9" s="1"/>
  <c r="H108" i="9" s="1"/>
  <c r="H12" i="15"/>
  <c r="I106" i="9" s="1"/>
  <c r="I108" i="9" s="1"/>
  <c r="I12" i="15"/>
  <c r="J106" i="9" s="1"/>
  <c r="J108" i="9" s="1"/>
  <c r="E15" i="15"/>
  <c r="F15" i="15"/>
  <c r="G15" i="15"/>
  <c r="H15" i="15"/>
  <c r="I15" i="15"/>
  <c r="E16" i="15"/>
  <c r="F16" i="15"/>
  <c r="G16" i="15"/>
  <c r="H16" i="15"/>
  <c r="I16" i="15"/>
  <c r="E17" i="15"/>
  <c r="F17" i="15"/>
  <c r="G17" i="15"/>
  <c r="H17" i="15"/>
  <c r="I17" i="15"/>
  <c r="E19" i="15"/>
  <c r="F19" i="15"/>
  <c r="G19" i="15"/>
  <c r="H19" i="15"/>
  <c r="I19" i="15"/>
  <c r="E20" i="15"/>
  <c r="F20" i="15"/>
  <c r="G20" i="15"/>
  <c r="H20" i="15"/>
  <c r="I20" i="15"/>
  <c r="E23" i="15"/>
  <c r="F23" i="15"/>
  <c r="G23" i="15"/>
  <c r="H104" i="9" s="1"/>
  <c r="H127" i="9" s="1"/>
  <c r="H23" i="15"/>
  <c r="I104" i="9" s="1"/>
  <c r="I127" i="9" s="1"/>
  <c r="I23" i="15"/>
  <c r="J104" i="9" s="1"/>
  <c r="J127" i="9" s="1"/>
  <c r="E25" i="15"/>
  <c r="F25" i="15"/>
  <c r="G25" i="15"/>
  <c r="H25" i="15"/>
  <c r="I25" i="15"/>
  <c r="E26" i="15"/>
  <c r="F26" i="15"/>
  <c r="G26" i="15"/>
  <c r="H26" i="15"/>
  <c r="I26" i="15"/>
  <c r="E28" i="15"/>
  <c r="E27" i="15" s="1"/>
  <c r="F28" i="15"/>
  <c r="F27" i="15" s="1"/>
  <c r="G28" i="15"/>
  <c r="G27" i="15" s="1"/>
  <c r="H28" i="15"/>
  <c r="H27" i="15" s="1"/>
  <c r="I28" i="15"/>
  <c r="I27" i="15" s="1"/>
  <c r="D12" i="15"/>
  <c r="N7" i="15"/>
  <c r="M7" i="15"/>
  <c r="L7" i="15"/>
  <c r="K7" i="15"/>
  <c r="J7" i="15"/>
  <c r="I7" i="15"/>
  <c r="H7" i="15"/>
  <c r="G7" i="15"/>
  <c r="F7" i="15"/>
  <c r="E7" i="15"/>
  <c r="D7" i="15"/>
  <c r="N6" i="15"/>
  <c r="M6" i="15"/>
  <c r="L6" i="15"/>
  <c r="K6" i="15"/>
  <c r="J6" i="15"/>
  <c r="I6" i="15"/>
  <c r="H6" i="15"/>
  <c r="G6" i="15"/>
  <c r="F6" i="15"/>
  <c r="E6" i="15"/>
  <c r="D6" i="15"/>
  <c r="N4" i="15"/>
  <c r="M4" i="15"/>
  <c r="L4" i="15"/>
  <c r="K4" i="15"/>
  <c r="J4" i="15"/>
  <c r="I4" i="15"/>
  <c r="H4" i="15"/>
  <c r="G4" i="15"/>
  <c r="F4" i="15"/>
  <c r="E4" i="15"/>
  <c r="D4" i="15"/>
  <c r="A1" i="15"/>
  <c r="H37" i="14"/>
  <c r="I37" i="14"/>
  <c r="J37" i="14"/>
  <c r="K37" i="14"/>
  <c r="L37" i="14"/>
  <c r="G37" i="14"/>
  <c r="H23" i="14"/>
  <c r="I23" i="14"/>
  <c r="J23" i="14"/>
  <c r="K23" i="14"/>
  <c r="L23" i="14"/>
  <c r="H24" i="14"/>
  <c r="I24" i="14"/>
  <c r="J24" i="14"/>
  <c r="K24" i="14"/>
  <c r="L24" i="14"/>
  <c r="H25" i="14"/>
  <c r="I25" i="14"/>
  <c r="J25" i="14"/>
  <c r="K25" i="14"/>
  <c r="L25" i="14"/>
  <c r="H15" i="14"/>
  <c r="I15" i="14"/>
  <c r="J15" i="14"/>
  <c r="K15" i="14"/>
  <c r="L15" i="14"/>
  <c r="H16" i="14"/>
  <c r="I16" i="14"/>
  <c r="J16" i="14"/>
  <c r="K16" i="14"/>
  <c r="L16" i="14"/>
  <c r="H17" i="14"/>
  <c r="I17" i="14"/>
  <c r="J17" i="14"/>
  <c r="K17" i="14"/>
  <c r="L17" i="14"/>
  <c r="H18" i="14"/>
  <c r="I18" i="14"/>
  <c r="J18" i="14"/>
  <c r="K18" i="14"/>
  <c r="L18" i="14"/>
  <c r="H19" i="14"/>
  <c r="I19" i="14"/>
  <c r="J19" i="14"/>
  <c r="K19" i="14"/>
  <c r="L19" i="14"/>
  <c r="G19" i="14"/>
  <c r="G16" i="14"/>
  <c r="G25" i="14"/>
  <c r="G24" i="14"/>
  <c r="G23" i="14"/>
  <c r="H29" i="14"/>
  <c r="I29" i="14"/>
  <c r="J29" i="14"/>
  <c r="K29" i="14"/>
  <c r="L29" i="14"/>
  <c r="H30" i="14"/>
  <c r="I30" i="14"/>
  <c r="J30" i="14"/>
  <c r="K30" i="14"/>
  <c r="L30" i="14"/>
  <c r="H31" i="14"/>
  <c r="I31" i="14"/>
  <c r="J31" i="14"/>
  <c r="K31" i="14"/>
  <c r="L31" i="14"/>
  <c r="H32" i="14"/>
  <c r="I32" i="14"/>
  <c r="J32" i="14"/>
  <c r="K32" i="14"/>
  <c r="L32" i="14"/>
  <c r="H33" i="14"/>
  <c r="I33" i="14"/>
  <c r="J33" i="14"/>
  <c r="K33" i="14"/>
  <c r="L33" i="14"/>
  <c r="G33" i="14"/>
  <c r="G32" i="14"/>
  <c r="G31" i="14"/>
  <c r="G30" i="14"/>
  <c r="G29" i="14"/>
  <c r="G15" i="14"/>
  <c r="H66" i="14"/>
  <c r="Q7" i="14"/>
  <c r="P7" i="14"/>
  <c r="O7" i="14"/>
  <c r="N7" i="14"/>
  <c r="M7" i="14"/>
  <c r="L7" i="14"/>
  <c r="K7" i="14"/>
  <c r="J7" i="14"/>
  <c r="I7" i="14"/>
  <c r="H7" i="14"/>
  <c r="G7" i="14"/>
  <c r="Q6" i="14"/>
  <c r="P6" i="14"/>
  <c r="O6" i="14"/>
  <c r="N6" i="14"/>
  <c r="M6" i="14"/>
  <c r="L6" i="14"/>
  <c r="K6" i="14"/>
  <c r="J6" i="14"/>
  <c r="I6" i="14"/>
  <c r="H6" i="14"/>
  <c r="G6" i="14"/>
  <c r="Q4" i="14"/>
  <c r="P4" i="14"/>
  <c r="O4" i="14"/>
  <c r="N4" i="14"/>
  <c r="M4" i="14"/>
  <c r="L4" i="14"/>
  <c r="K4" i="14"/>
  <c r="J4" i="14"/>
  <c r="I4" i="14"/>
  <c r="H4" i="14"/>
  <c r="G4" i="14"/>
  <c r="A1" i="14"/>
  <c r="E49" i="13"/>
  <c r="F49" i="13"/>
  <c r="G49" i="13"/>
  <c r="H49" i="13"/>
  <c r="I49" i="13"/>
  <c r="E50" i="13"/>
  <c r="H30" i="8" s="1"/>
  <c r="F50" i="13"/>
  <c r="I30" i="8" s="1"/>
  <c r="G50" i="13"/>
  <c r="J30" i="8" s="1"/>
  <c r="H50" i="13"/>
  <c r="K30" i="8" s="1"/>
  <c r="I50" i="13"/>
  <c r="L30" i="8" s="1"/>
  <c r="E51" i="13"/>
  <c r="H63" i="8" s="1"/>
  <c r="F51" i="13"/>
  <c r="I63" i="8" s="1"/>
  <c r="G51" i="13"/>
  <c r="J63" i="8" s="1"/>
  <c r="H51" i="13"/>
  <c r="K63" i="8" s="1"/>
  <c r="I51" i="13"/>
  <c r="L63" i="8" s="1"/>
  <c r="E52" i="13"/>
  <c r="F136" i="9" s="1"/>
  <c r="F52" i="13"/>
  <c r="G136" i="9" s="1"/>
  <c r="G52" i="13"/>
  <c r="H136" i="9" s="1"/>
  <c r="H52" i="13"/>
  <c r="I136" i="9" s="1"/>
  <c r="I52" i="13"/>
  <c r="J136" i="9" s="1"/>
  <c r="E53" i="13"/>
  <c r="H77" i="8" s="1"/>
  <c r="F53" i="13"/>
  <c r="I77" i="8" s="1"/>
  <c r="G53" i="13"/>
  <c r="J77" i="8" s="1"/>
  <c r="H53" i="13"/>
  <c r="K77" i="8" s="1"/>
  <c r="I53" i="13"/>
  <c r="L103" i="8" s="1"/>
  <c r="D53" i="13"/>
  <c r="G103" i="8" s="1"/>
  <c r="D52" i="13"/>
  <c r="E136" i="9" s="1"/>
  <c r="D51" i="13"/>
  <c r="G114" i="8" s="1"/>
  <c r="D50" i="13"/>
  <c r="G30" i="8" s="1"/>
  <c r="D49" i="13"/>
  <c r="E42" i="13"/>
  <c r="F42" i="13"/>
  <c r="G42" i="13"/>
  <c r="H42" i="13"/>
  <c r="I42" i="13"/>
  <c r="E43" i="13"/>
  <c r="F43" i="13"/>
  <c r="G43" i="13"/>
  <c r="H43" i="13"/>
  <c r="I43" i="13"/>
  <c r="L110" i="8" s="1"/>
  <c r="E44" i="13"/>
  <c r="H83" i="8" s="1"/>
  <c r="F44" i="13"/>
  <c r="I83" i="8" s="1"/>
  <c r="G44" i="13"/>
  <c r="J83" i="8" s="1"/>
  <c r="H44" i="13"/>
  <c r="K83" i="8" s="1"/>
  <c r="I44" i="13"/>
  <c r="L83" i="8" s="1"/>
  <c r="E45" i="13"/>
  <c r="F112" i="9" s="1"/>
  <c r="F45" i="13"/>
  <c r="G112" i="9" s="1"/>
  <c r="G45" i="13"/>
  <c r="H45" i="13"/>
  <c r="I112" i="9" s="1"/>
  <c r="I45" i="13"/>
  <c r="J112" i="9" s="1"/>
  <c r="D45" i="13"/>
  <c r="E112" i="9" s="1"/>
  <c r="E114" i="9" s="1"/>
  <c r="D44" i="13"/>
  <c r="G83" i="8" s="1"/>
  <c r="D43" i="13"/>
  <c r="E137" i="9" s="1"/>
  <c r="D42" i="13"/>
  <c r="E37" i="13"/>
  <c r="E36" i="13"/>
  <c r="F36" i="13"/>
  <c r="G36" i="13"/>
  <c r="H36" i="13"/>
  <c r="F37" i="13"/>
  <c r="G37" i="13"/>
  <c r="H37" i="13"/>
  <c r="I37" i="13"/>
  <c r="J37" i="13" s="1"/>
  <c r="K37" i="13" s="1"/>
  <c r="L37" i="13" s="1"/>
  <c r="M37" i="13" s="1"/>
  <c r="N37" i="13" s="1"/>
  <c r="D37" i="13"/>
  <c r="D36" i="13"/>
  <c r="E35" i="13"/>
  <c r="F35" i="13"/>
  <c r="G35" i="13"/>
  <c r="H35" i="13"/>
  <c r="D35" i="13"/>
  <c r="E34" i="13"/>
  <c r="F34" i="13"/>
  <c r="G34" i="13"/>
  <c r="H34" i="13"/>
  <c r="D34" i="13"/>
  <c r="E33" i="13"/>
  <c r="F33" i="13"/>
  <c r="G33" i="13"/>
  <c r="H33" i="13"/>
  <c r="I33" i="13"/>
  <c r="D33" i="13"/>
  <c r="E26" i="13"/>
  <c r="E36" i="15" s="1"/>
  <c r="F26" i="13"/>
  <c r="F36" i="15" s="1"/>
  <c r="G26" i="13"/>
  <c r="G36" i="15" s="1"/>
  <c r="H26" i="13"/>
  <c r="I53" i="9" s="1"/>
  <c r="J147" i="9" s="1"/>
  <c r="J152" i="9" s="1"/>
  <c r="I26" i="13"/>
  <c r="J53" i="9" s="1"/>
  <c r="K147" i="9" s="1"/>
  <c r="D26" i="13"/>
  <c r="D36" i="15" s="1"/>
  <c r="E25" i="13"/>
  <c r="H70" i="8" s="1"/>
  <c r="F25" i="13"/>
  <c r="I70" i="8" s="1"/>
  <c r="G25" i="13"/>
  <c r="J70" i="8" s="1"/>
  <c r="H25" i="13"/>
  <c r="K102" i="8" s="1"/>
  <c r="I25" i="13"/>
  <c r="L70" i="8" s="1"/>
  <c r="D25" i="13"/>
  <c r="G70" i="8" s="1"/>
  <c r="E24" i="13"/>
  <c r="H113" i="8" s="1"/>
  <c r="F24" i="13"/>
  <c r="I113" i="8" s="1"/>
  <c r="G24" i="13"/>
  <c r="J113" i="8" s="1"/>
  <c r="H24" i="13"/>
  <c r="K113" i="8" s="1"/>
  <c r="I24" i="13"/>
  <c r="L113" i="8" s="1"/>
  <c r="D24" i="13"/>
  <c r="G113" i="8" s="1"/>
  <c r="E23" i="13"/>
  <c r="H21" i="8" s="1"/>
  <c r="F23" i="13"/>
  <c r="I21" i="8" s="1"/>
  <c r="G23" i="13"/>
  <c r="J21" i="8" s="1"/>
  <c r="H23" i="13"/>
  <c r="K21" i="8" s="1"/>
  <c r="I23" i="13"/>
  <c r="L21" i="8" s="1"/>
  <c r="D23" i="13"/>
  <c r="G21" i="8" s="1"/>
  <c r="E22" i="13"/>
  <c r="H16" i="8" s="1"/>
  <c r="F22" i="13"/>
  <c r="I16" i="8" s="1"/>
  <c r="G22" i="13"/>
  <c r="J16" i="8" s="1"/>
  <c r="H22" i="13"/>
  <c r="K16" i="8" s="1"/>
  <c r="I22" i="13"/>
  <c r="L16" i="8" s="1"/>
  <c r="D22" i="13"/>
  <c r="G16" i="8" s="1"/>
  <c r="E16" i="13"/>
  <c r="F16" i="13"/>
  <c r="G16" i="13"/>
  <c r="H16" i="13"/>
  <c r="I16" i="13"/>
  <c r="E17" i="13"/>
  <c r="H100" i="8" s="1"/>
  <c r="F17" i="13"/>
  <c r="I100" i="8" s="1"/>
  <c r="G17" i="13"/>
  <c r="J100" i="8" s="1"/>
  <c r="H17" i="13"/>
  <c r="K100" i="8" s="1"/>
  <c r="I17" i="13"/>
  <c r="L100" i="8" s="1"/>
  <c r="E18" i="13"/>
  <c r="F18" i="13"/>
  <c r="G18" i="13"/>
  <c r="H18" i="13"/>
  <c r="I18" i="13"/>
  <c r="D18" i="13"/>
  <c r="D17" i="13"/>
  <c r="G100" i="8" s="1"/>
  <c r="D16" i="13"/>
  <c r="D15" i="13"/>
  <c r="E15" i="13"/>
  <c r="F15" i="13"/>
  <c r="G15" i="13"/>
  <c r="H15" i="13"/>
  <c r="I15" i="13"/>
  <c r="E14" i="13"/>
  <c r="F14" i="13"/>
  <c r="G14" i="13"/>
  <c r="H14" i="13"/>
  <c r="I14" i="13"/>
  <c r="D14" i="13"/>
  <c r="N7" i="13"/>
  <c r="M7" i="13"/>
  <c r="L7" i="13"/>
  <c r="K7" i="13"/>
  <c r="J7" i="13"/>
  <c r="I7" i="13"/>
  <c r="H7" i="13"/>
  <c r="G7" i="13"/>
  <c r="F7" i="13"/>
  <c r="E7" i="13"/>
  <c r="D7" i="13"/>
  <c r="N6" i="13"/>
  <c r="M6" i="13"/>
  <c r="L6" i="13"/>
  <c r="K6" i="13"/>
  <c r="J6" i="13"/>
  <c r="I6" i="13"/>
  <c r="H6" i="13"/>
  <c r="G6" i="13"/>
  <c r="F6" i="13"/>
  <c r="E6" i="13"/>
  <c r="D6" i="13"/>
  <c r="N4" i="13"/>
  <c r="M4" i="13"/>
  <c r="L4" i="13"/>
  <c r="K4" i="13"/>
  <c r="J4" i="13"/>
  <c r="I4" i="13"/>
  <c r="H4" i="13"/>
  <c r="G4" i="13"/>
  <c r="F4" i="13"/>
  <c r="E4" i="13"/>
  <c r="D4" i="13"/>
  <c r="A1" i="13"/>
  <c r="G69" i="7"/>
  <c r="Q64" i="7"/>
  <c r="K18" i="2"/>
  <c r="L18" i="2"/>
  <c r="M18" i="2"/>
  <c r="N18" i="2"/>
  <c r="J18" i="2"/>
  <c r="I16" i="2"/>
  <c r="Z42" i="11" l="1"/>
  <c r="F37" i="15"/>
  <c r="K59" i="7"/>
  <c r="G37" i="15"/>
  <c r="E37" i="15"/>
  <c r="I59" i="7"/>
  <c r="D37" i="15"/>
  <c r="L56" i="11"/>
  <c r="K108" i="9"/>
  <c r="L108" i="9" s="1"/>
  <c r="M108" i="9" s="1"/>
  <c r="G56" i="11"/>
  <c r="E106" i="9"/>
  <c r="E108" i="9" s="1"/>
  <c r="G59" i="7"/>
  <c r="L15" i="8"/>
  <c r="J20" i="8"/>
  <c r="G104" i="9"/>
  <c r="G127" i="9" s="1"/>
  <c r="I134" i="9"/>
  <c r="L59" i="7"/>
  <c r="K15" i="8"/>
  <c r="I20" i="8"/>
  <c r="F104" i="9"/>
  <c r="F127" i="9" s="1"/>
  <c r="H134" i="9"/>
  <c r="H20" i="8"/>
  <c r="G134" i="9"/>
  <c r="J56" i="11"/>
  <c r="J59" i="7"/>
  <c r="F134" i="9"/>
  <c r="I56" i="11"/>
  <c r="H56" i="11"/>
  <c r="H59" i="7"/>
  <c r="G20" i="8"/>
  <c r="L20" i="8"/>
  <c r="E134" i="9"/>
  <c r="G15" i="8"/>
  <c r="G12" i="8" s="1"/>
  <c r="G84" i="8" s="1"/>
  <c r="K20" i="8"/>
  <c r="K22" i="8" s="1"/>
  <c r="J134" i="9"/>
  <c r="L49" i="9"/>
  <c r="K49" i="9"/>
  <c r="J116" i="9"/>
  <c r="N19" i="11"/>
  <c r="M19" i="11"/>
  <c r="M20" i="11" s="1"/>
  <c r="O150" i="9"/>
  <c r="N150" i="9"/>
  <c r="M150" i="9"/>
  <c r="L150" i="9"/>
  <c r="J128" i="9"/>
  <c r="E116" i="9"/>
  <c r="O18" i="11"/>
  <c r="N18" i="11"/>
  <c r="H137" i="9"/>
  <c r="H138" i="9" s="1"/>
  <c r="H139" i="9" s="1"/>
  <c r="J110" i="8"/>
  <c r="I137" i="9"/>
  <c r="I138" i="9" s="1"/>
  <c r="K110" i="8"/>
  <c r="G137" i="9"/>
  <c r="G138" i="9" s="1"/>
  <c r="I110" i="8"/>
  <c r="F137" i="9"/>
  <c r="F138" i="9" s="1"/>
  <c r="F139" i="9" s="1"/>
  <c r="H110" i="8"/>
  <c r="L22" i="8"/>
  <c r="N24" i="8"/>
  <c r="N64" i="7"/>
  <c r="M51" i="11"/>
  <c r="P51" i="11"/>
  <c r="Q18" i="11"/>
  <c r="P18" i="11"/>
  <c r="P64" i="7"/>
  <c r="O64" i="7"/>
  <c r="H100" i="7"/>
  <c r="D108" i="7"/>
  <c r="D109" i="7"/>
  <c r="H108" i="7"/>
  <c r="J108" i="7" s="1"/>
  <c r="F100" i="7"/>
  <c r="H109" i="7"/>
  <c r="G102" i="7"/>
  <c r="J102" i="7" s="1"/>
  <c r="E102" i="7"/>
  <c r="G100" i="7"/>
  <c r="J100" i="7" s="1"/>
  <c r="I109" i="7"/>
  <c r="D101" i="7"/>
  <c r="H101" i="7"/>
  <c r="J101" i="7" s="1"/>
  <c r="E100" i="7"/>
  <c r="G109" i="7"/>
  <c r="I107" i="7"/>
  <c r="J107" i="7" s="1"/>
  <c r="F109" i="7"/>
  <c r="F102" i="7"/>
  <c r="F114" i="9"/>
  <c r="G114" i="9"/>
  <c r="J114" i="9"/>
  <c r="I114" i="9"/>
  <c r="H129" i="8"/>
  <c r="J129" i="8"/>
  <c r="I105" i="9"/>
  <c r="J105" i="9"/>
  <c r="H105" i="9"/>
  <c r="E105" i="9"/>
  <c r="I36" i="13"/>
  <c r="I38" i="13" s="1"/>
  <c r="F128" i="9"/>
  <c r="O16" i="11"/>
  <c r="N16" i="11"/>
  <c r="M16" i="11"/>
  <c r="M17" i="11" s="1"/>
  <c r="F116" i="9"/>
  <c r="F129" i="9" s="1"/>
  <c r="I116" i="9"/>
  <c r="G116" i="9"/>
  <c r="O51" i="11"/>
  <c r="N51" i="11"/>
  <c r="Q50" i="11"/>
  <c r="P50" i="11"/>
  <c r="M50" i="11"/>
  <c r="Q19" i="11"/>
  <c r="M46" i="11"/>
  <c r="N46" i="11"/>
  <c r="P19" i="11"/>
  <c r="O19" i="11"/>
  <c r="O50" i="11"/>
  <c r="Q48" i="11"/>
  <c r="P48" i="11"/>
  <c r="O48" i="11"/>
  <c r="N48" i="11"/>
  <c r="L111" i="8"/>
  <c r="L129" i="8"/>
  <c r="K129" i="8"/>
  <c r="I118" i="8"/>
  <c r="I129" i="8"/>
  <c r="G111" i="8"/>
  <c r="H116" i="8"/>
  <c r="J112" i="8"/>
  <c r="I114" i="8"/>
  <c r="G118" i="8"/>
  <c r="J117" i="8"/>
  <c r="G112" i="8"/>
  <c r="L115" i="8"/>
  <c r="I112" i="8"/>
  <c r="H114" i="8"/>
  <c r="H130" i="8" s="1"/>
  <c r="L118" i="8"/>
  <c r="I117" i="8"/>
  <c r="G115" i="8"/>
  <c r="K115" i="8"/>
  <c r="H112" i="8"/>
  <c r="K118" i="8"/>
  <c r="H117" i="8"/>
  <c r="G116" i="8"/>
  <c r="J115" i="8"/>
  <c r="J118" i="8"/>
  <c r="L116" i="8"/>
  <c r="I115" i="8"/>
  <c r="K116" i="8"/>
  <c r="H115" i="8"/>
  <c r="L114" i="8"/>
  <c r="H118" i="8"/>
  <c r="J116" i="8"/>
  <c r="L112" i="8"/>
  <c r="K114" i="8"/>
  <c r="L117" i="8"/>
  <c r="I116" i="8"/>
  <c r="K112" i="8"/>
  <c r="J114" i="8"/>
  <c r="K117" i="8"/>
  <c r="L133" i="8" s="1"/>
  <c r="M73" i="7"/>
  <c r="M74" i="7" s="1"/>
  <c r="O26" i="8"/>
  <c r="O24" i="8"/>
  <c r="P26" i="8"/>
  <c r="Q35" i="8"/>
  <c r="G22" i="8"/>
  <c r="Q17" i="8"/>
  <c r="Q24" i="8"/>
  <c r="P24" i="8"/>
  <c r="Q26" i="8"/>
  <c r="K111" i="8"/>
  <c r="J111" i="8"/>
  <c r="I111" i="8"/>
  <c r="H111" i="8"/>
  <c r="Q46" i="11"/>
  <c r="P46" i="11"/>
  <c r="O46" i="11"/>
  <c r="I26" i="14"/>
  <c r="O49" i="9"/>
  <c r="Q73" i="7"/>
  <c r="P73" i="7"/>
  <c r="O73" i="7"/>
  <c r="M35" i="8"/>
  <c r="M17" i="8"/>
  <c r="N26" i="8"/>
  <c r="J22" i="8"/>
  <c r="P17" i="8"/>
  <c r="N35" i="8"/>
  <c r="H22" i="8"/>
  <c r="I22" i="8"/>
  <c r="P35" i="8"/>
  <c r="G75" i="8"/>
  <c r="K103" i="8"/>
  <c r="G101" i="8"/>
  <c r="J12" i="9"/>
  <c r="E138" i="9"/>
  <c r="F53" i="9"/>
  <c r="G147" i="9" s="1"/>
  <c r="G152" i="9" s="1"/>
  <c r="G128" i="9"/>
  <c r="H32" i="8"/>
  <c r="J32" i="8"/>
  <c r="I32" i="8"/>
  <c r="K32" i="8"/>
  <c r="H102" i="8"/>
  <c r="N100" i="8"/>
  <c r="L75" i="8"/>
  <c r="G77" i="8"/>
  <c r="E53" i="9"/>
  <c r="F147" i="9" s="1"/>
  <c r="F152" i="9" s="1"/>
  <c r="K75" i="8"/>
  <c r="G53" i="9"/>
  <c r="H147" i="9" s="1"/>
  <c r="H152" i="9" s="1"/>
  <c r="J75" i="8"/>
  <c r="I75" i="8"/>
  <c r="H36" i="15"/>
  <c r="H37" i="15" s="1"/>
  <c r="J103" i="8"/>
  <c r="H128" i="9"/>
  <c r="I103" i="8"/>
  <c r="P100" i="8"/>
  <c r="K70" i="8"/>
  <c r="H103" i="8"/>
  <c r="O100" i="8"/>
  <c r="L32" i="8"/>
  <c r="K27" i="10"/>
  <c r="L102" i="8"/>
  <c r="H75" i="8"/>
  <c r="L77" i="8"/>
  <c r="G102" i="8"/>
  <c r="J102" i="8"/>
  <c r="G63" i="8"/>
  <c r="I102" i="8"/>
  <c r="H53" i="9"/>
  <c r="I147" i="9" s="1"/>
  <c r="I152" i="9" s="1"/>
  <c r="Q16" i="11"/>
  <c r="Q33" i="8"/>
  <c r="O33" i="8"/>
  <c r="M33" i="8"/>
  <c r="P33" i="8"/>
  <c r="O17" i="8"/>
  <c r="H112" i="9"/>
  <c r="J137" i="9"/>
  <c r="J138" i="9" s="1"/>
  <c r="M49" i="9"/>
  <c r="N49" i="9"/>
  <c r="I101" i="8"/>
  <c r="J101" i="8"/>
  <c r="H101" i="8"/>
  <c r="L101" i="8"/>
  <c r="K101" i="8"/>
  <c r="I128" i="9"/>
  <c r="G12" i="9"/>
  <c r="I12" i="9"/>
  <c r="H12" i="9"/>
  <c r="I36" i="15"/>
  <c r="I37" i="15" s="1"/>
  <c r="H37" i="9"/>
  <c r="H41" i="9" s="1"/>
  <c r="I46" i="13"/>
  <c r="E37" i="9"/>
  <c r="E41" i="9" s="1"/>
  <c r="M28" i="9"/>
  <c r="L28" i="9"/>
  <c r="K28" i="9"/>
  <c r="I37" i="9"/>
  <c r="I41" i="9" s="1"/>
  <c r="F37" i="9"/>
  <c r="F41" i="9" s="1"/>
  <c r="J37" i="9"/>
  <c r="J41" i="9" s="1"/>
  <c r="G37" i="9"/>
  <c r="G41" i="9" s="1"/>
  <c r="F12" i="9"/>
  <c r="F17" i="9" s="1"/>
  <c r="I20" i="14"/>
  <c r="I34" i="14"/>
  <c r="J34" i="14"/>
  <c r="K34" i="14"/>
  <c r="L34" i="14"/>
  <c r="G26" i="14"/>
  <c r="G20" i="14"/>
  <c r="J20" i="14"/>
  <c r="H20" i="14"/>
  <c r="L26" i="14"/>
  <c r="K20" i="14"/>
  <c r="H34" i="14"/>
  <c r="L20" i="14"/>
  <c r="L38" i="14" s="1"/>
  <c r="K26" i="14"/>
  <c r="H26" i="14"/>
  <c r="J26" i="14"/>
  <c r="K83" i="9"/>
  <c r="K15" i="9" s="1"/>
  <c r="D38" i="13"/>
  <c r="D46" i="13"/>
  <c r="D54" i="13"/>
  <c r="H54" i="13"/>
  <c r="E54" i="13"/>
  <c r="G54" i="13"/>
  <c r="I54" i="13"/>
  <c r="F54" i="13"/>
  <c r="E14" i="15"/>
  <c r="E18" i="15" s="1"/>
  <c r="G14" i="15"/>
  <c r="G18" i="15" s="1"/>
  <c r="G30" i="15" s="1"/>
  <c r="F14" i="15"/>
  <c r="F18" i="15" s="1"/>
  <c r="D14" i="15"/>
  <c r="D18" i="15" s="1"/>
  <c r="H14" i="15"/>
  <c r="H18" i="15" s="1"/>
  <c r="H30" i="15" s="1"/>
  <c r="I14" i="15"/>
  <c r="I18" i="15" s="1"/>
  <c r="G34" i="14"/>
  <c r="G38" i="13"/>
  <c r="H38" i="13"/>
  <c r="E38" i="13"/>
  <c r="F38" i="13"/>
  <c r="F46" i="13"/>
  <c r="E46" i="13"/>
  <c r="G46" i="13"/>
  <c r="H46" i="13"/>
  <c r="G19" i="13"/>
  <c r="H111" i="9" s="1"/>
  <c r="I27" i="13"/>
  <c r="F27" i="13"/>
  <c r="H27" i="13"/>
  <c r="E19" i="13"/>
  <c r="F111" i="9" s="1"/>
  <c r="F19" i="13"/>
  <c r="G111" i="9" s="1"/>
  <c r="D27" i="13"/>
  <c r="E27" i="13"/>
  <c r="D19" i="13"/>
  <c r="E111" i="9" s="1"/>
  <c r="E115" i="9" s="1"/>
  <c r="I19" i="13"/>
  <c r="H19" i="13"/>
  <c r="I111" i="9" s="1"/>
  <c r="G27" i="13"/>
  <c r="M45" i="11" l="1"/>
  <c r="Z43" i="11" s="1"/>
  <c r="Z44" i="11" s="1"/>
  <c r="M76" i="11"/>
  <c r="F105" i="9"/>
  <c r="I139" i="9"/>
  <c r="E22" i="15"/>
  <c r="E24" i="15" s="1"/>
  <c r="H11" i="10"/>
  <c r="H12" i="10" s="1"/>
  <c r="E30" i="15"/>
  <c r="E139" i="9"/>
  <c r="I22" i="15"/>
  <c r="I24" i="15" s="1"/>
  <c r="L11" i="10"/>
  <c r="L12" i="10" s="1"/>
  <c r="H22" i="15"/>
  <c r="H24" i="15" s="1"/>
  <c r="K11" i="10"/>
  <c r="K12" i="10" s="1"/>
  <c r="D22" i="15"/>
  <c r="D24" i="15" s="1"/>
  <c r="E9" i="9" s="1"/>
  <c r="G11" i="10"/>
  <c r="G12" i="10" s="1"/>
  <c r="D30" i="15"/>
  <c r="F22" i="15"/>
  <c r="F24" i="15" s="1"/>
  <c r="I11" i="10"/>
  <c r="I12" i="10" s="1"/>
  <c r="F30" i="15"/>
  <c r="G22" i="15"/>
  <c r="G24" i="15" s="1"/>
  <c r="J11" i="10"/>
  <c r="J12" i="10" s="1"/>
  <c r="G105" i="9"/>
  <c r="G139" i="9"/>
  <c r="I30" i="15"/>
  <c r="Q76" i="11"/>
  <c r="K150" i="9"/>
  <c r="I131" i="8"/>
  <c r="K131" i="8"/>
  <c r="J132" i="8"/>
  <c r="H128" i="8"/>
  <c r="J133" i="8"/>
  <c r="H132" i="8"/>
  <c r="H133" i="8"/>
  <c r="I133" i="8"/>
  <c r="H127" i="8"/>
  <c r="I132" i="8"/>
  <c r="K132" i="8"/>
  <c r="J131" i="8"/>
  <c r="L131" i="8"/>
  <c r="K133" i="8"/>
  <c r="L132" i="8"/>
  <c r="H131" i="8"/>
  <c r="M53" i="11"/>
  <c r="J129" i="9"/>
  <c r="J130" i="9" s="1"/>
  <c r="J109" i="7"/>
  <c r="F115" i="9"/>
  <c r="G115" i="9"/>
  <c r="H114" i="9"/>
  <c r="H115" i="9" s="1"/>
  <c r="I115" i="9"/>
  <c r="N108" i="9"/>
  <c r="I56" i="13"/>
  <c r="K28" i="10" s="1"/>
  <c r="E39" i="10" s="1"/>
  <c r="E117" i="9"/>
  <c r="H116" i="9"/>
  <c r="F130" i="9"/>
  <c r="G129" i="9"/>
  <c r="G130" i="9" s="1"/>
  <c r="M37" i="8"/>
  <c r="J128" i="8"/>
  <c r="L128" i="8"/>
  <c r="J134" i="8"/>
  <c r="I130" i="8"/>
  <c r="L134" i="8"/>
  <c r="K130" i="8"/>
  <c r="E143" i="9"/>
  <c r="H134" i="8"/>
  <c r="J130" i="8"/>
  <c r="L130" i="8"/>
  <c r="I128" i="8"/>
  <c r="K128" i="8"/>
  <c r="K134" i="8"/>
  <c r="I134" i="8"/>
  <c r="I127" i="8"/>
  <c r="J127" i="8"/>
  <c r="K127" i="8"/>
  <c r="L127" i="8"/>
  <c r="K104" i="8"/>
  <c r="I104" i="8"/>
  <c r="G104" i="8"/>
  <c r="E142" i="9"/>
  <c r="H104" i="8"/>
  <c r="J104" i="8"/>
  <c r="G32" i="8"/>
  <c r="F145" i="9"/>
  <c r="G142" i="9"/>
  <c r="G143" i="9"/>
  <c r="F142" i="9"/>
  <c r="F143" i="9"/>
  <c r="G145" i="9"/>
  <c r="L104" i="8"/>
  <c r="E23" i="10"/>
  <c r="H143" i="9"/>
  <c r="I142" i="9"/>
  <c r="I143" i="9"/>
  <c r="I145" i="9"/>
  <c r="H142" i="9"/>
  <c r="H145" i="9"/>
  <c r="J145" i="9"/>
  <c r="I38" i="14"/>
  <c r="J139" i="9"/>
  <c r="J142" i="9"/>
  <c r="J143" i="9"/>
  <c r="F117" i="9"/>
  <c r="G117" i="9"/>
  <c r="I117" i="9"/>
  <c r="I29" i="13"/>
  <c r="J111" i="9"/>
  <c r="J115" i="9" s="1"/>
  <c r="G38" i="14"/>
  <c r="J38" i="14"/>
  <c r="H38" i="14"/>
  <c r="K38" i="14"/>
  <c r="E29" i="13"/>
  <c r="D56" i="13"/>
  <c r="D58" i="13" s="1"/>
  <c r="H56" i="13"/>
  <c r="H58" i="13" s="1"/>
  <c r="F29" i="13"/>
  <c r="E56" i="13"/>
  <c r="E58" i="13" s="1"/>
  <c r="G56" i="13"/>
  <c r="G58" i="13" s="1"/>
  <c r="F56" i="13"/>
  <c r="F58" i="13" s="1"/>
  <c r="G29" i="13"/>
  <c r="H29" i="13"/>
  <c r="D29" i="13"/>
  <c r="K139" i="9" l="1"/>
  <c r="L139" i="9" s="1"/>
  <c r="M139" i="9" s="1"/>
  <c r="H9" i="9"/>
  <c r="H20" i="9"/>
  <c r="I9" i="9"/>
  <c r="I20" i="9"/>
  <c r="J9" i="9"/>
  <c r="J20" i="9"/>
  <c r="G9" i="9"/>
  <c r="G20" i="9"/>
  <c r="F20" i="9"/>
  <c r="F9" i="9"/>
  <c r="I58" i="13"/>
  <c r="I60" i="13" s="1"/>
  <c r="O108" i="9"/>
  <c r="J117" i="9"/>
  <c r="H117" i="9"/>
  <c r="H129" i="9"/>
  <c r="H130" i="9" s="1"/>
  <c r="I129" i="9"/>
  <c r="I130" i="9" s="1"/>
  <c r="K105" i="8"/>
  <c r="L105" i="8"/>
  <c r="E60" i="13"/>
  <c r="H105" i="8"/>
  <c r="J105" i="8"/>
  <c r="I105" i="8"/>
  <c r="D60" i="13"/>
  <c r="K39" i="10"/>
  <c r="F60" i="13"/>
  <c r="G60" i="13"/>
  <c r="H60" i="13"/>
  <c r="N139" i="9" l="1"/>
  <c r="O139" i="9" s="1"/>
  <c r="A1" i="10" l="1"/>
  <c r="L70" i="9" l="1"/>
  <c r="L50" i="9" s="1"/>
  <c r="M70" i="9"/>
  <c r="M50" i="9" s="1"/>
  <c r="N70" i="9"/>
  <c r="N50" i="9" s="1"/>
  <c r="O70" i="9"/>
  <c r="O50" i="9" s="1"/>
  <c r="K70" i="9"/>
  <c r="K50" i="9" s="1"/>
  <c r="K91" i="9"/>
  <c r="K22" i="9" s="1"/>
  <c r="L91" i="9"/>
  <c r="L22" i="9" s="1"/>
  <c r="K99" i="9"/>
  <c r="L99" i="9" s="1"/>
  <c r="M99" i="9" s="1"/>
  <c r="N99" i="9" s="1"/>
  <c r="O99" i="9" s="1"/>
  <c r="K98" i="9"/>
  <c r="L98" i="9" s="1"/>
  <c r="L96" i="9" s="1"/>
  <c r="L23" i="9" s="1"/>
  <c r="M91" i="9"/>
  <c r="M22" i="9" s="1"/>
  <c r="N91" i="9"/>
  <c r="N22" i="9" s="1"/>
  <c r="O91" i="9"/>
  <c r="O22" i="9" s="1"/>
  <c r="G22" i="9"/>
  <c r="H22" i="9"/>
  <c r="I22" i="9"/>
  <c r="J22" i="9"/>
  <c r="F22" i="9"/>
  <c r="I21" i="2"/>
  <c r="A1" i="9"/>
  <c r="H12" i="8"/>
  <c r="I12" i="8"/>
  <c r="J12" i="8"/>
  <c r="K12" i="8"/>
  <c r="L12" i="8"/>
  <c r="O36" i="9" l="1"/>
  <c r="O43" i="9"/>
  <c r="O35" i="9" s="1"/>
  <c r="O28" i="9" s="1"/>
  <c r="N36" i="9"/>
  <c r="N43" i="9"/>
  <c r="M36" i="9"/>
  <c r="M43" i="9"/>
  <c r="K36" i="9"/>
  <c r="K43" i="9"/>
  <c r="L36" i="9"/>
  <c r="L43" i="9"/>
  <c r="Q37" i="8"/>
  <c r="G29" i="8"/>
  <c r="G31" i="8" s="1"/>
  <c r="J29" i="8"/>
  <c r="J31" i="8" s="1"/>
  <c r="L29" i="8"/>
  <c r="L31" i="8" s="1"/>
  <c r="K29" i="8"/>
  <c r="K31" i="8" s="1"/>
  <c r="I29" i="8"/>
  <c r="I31" i="8" s="1"/>
  <c r="H29" i="8"/>
  <c r="H31" i="8" s="1"/>
  <c r="K96" i="9"/>
  <c r="K23" i="9" s="1"/>
  <c r="M98" i="9"/>
  <c r="N37" i="8"/>
  <c r="O37" i="8"/>
  <c r="L17" i="8"/>
  <c r="K17" i="8"/>
  <c r="J17" i="8"/>
  <c r="P37" i="8"/>
  <c r="I17" i="8"/>
  <c r="H17" i="8"/>
  <c r="G17" i="8"/>
  <c r="N35" i="9" l="1"/>
  <c r="N28" i="9" s="1"/>
  <c r="G37" i="8"/>
  <c r="H37" i="8"/>
  <c r="N98" i="9"/>
  <c r="M96" i="9"/>
  <c r="M23" i="9" l="1"/>
  <c r="O98" i="9"/>
  <c r="O96" i="9" s="1"/>
  <c r="N96" i="9"/>
  <c r="O23" i="9" l="1"/>
  <c r="N23" i="9"/>
  <c r="E29" i="7" l="1"/>
  <c r="M30" i="7" s="1"/>
  <c r="E31" i="7"/>
  <c r="E45" i="7"/>
  <c r="O46" i="7" s="1"/>
  <c r="E47" i="7"/>
  <c r="P48" i="7" s="1"/>
  <c r="P30" i="7"/>
  <c r="M23" i="7"/>
  <c r="N23" i="7" s="1"/>
  <c r="O23" i="7" s="1"/>
  <c r="P23" i="7" s="1"/>
  <c r="Q23" i="7" s="1"/>
  <c r="M16" i="7"/>
  <c r="M15" i="7" s="1"/>
  <c r="E21" i="7"/>
  <c r="O22" i="7" s="1"/>
  <c r="E13" i="7"/>
  <c r="N16" i="7"/>
  <c r="O16" i="7"/>
  <c r="P16" i="7"/>
  <c r="Q16" i="7"/>
  <c r="N14" i="7"/>
  <c r="O14" i="7"/>
  <c r="P14" i="7"/>
  <c r="Q14" i="7"/>
  <c r="K69" i="7"/>
  <c r="J69" i="7"/>
  <c r="I69" i="7"/>
  <c r="H69" i="7"/>
  <c r="H58" i="7"/>
  <c r="I58" i="7"/>
  <c r="J58" i="7"/>
  <c r="K58" i="7"/>
  <c r="H49" i="7"/>
  <c r="I49" i="7"/>
  <c r="J49" i="7"/>
  <c r="K49" i="7"/>
  <c r="L49" i="7"/>
  <c r="M44" i="7" s="1"/>
  <c r="G49" i="7"/>
  <c r="H34" i="7"/>
  <c r="H41" i="7" s="1"/>
  <c r="I34" i="7"/>
  <c r="I41" i="7" s="1"/>
  <c r="J34" i="7"/>
  <c r="J41" i="7" s="1"/>
  <c r="K34" i="7"/>
  <c r="K41" i="7" s="1"/>
  <c r="L34" i="7"/>
  <c r="G34" i="7"/>
  <c r="G41" i="7" s="1"/>
  <c r="G17" i="7"/>
  <c r="H17" i="7"/>
  <c r="I17" i="7"/>
  <c r="J17" i="7"/>
  <c r="K17" i="7"/>
  <c r="L17" i="7"/>
  <c r="M12" i="7" s="1"/>
  <c r="M28" i="7" l="1"/>
  <c r="L41" i="7"/>
  <c r="N48" i="7"/>
  <c r="N32" i="7"/>
  <c r="O32" i="7"/>
  <c r="M32" i="7"/>
  <c r="P32" i="7"/>
  <c r="Q32" i="7"/>
  <c r="N30" i="7"/>
  <c r="O48" i="7"/>
  <c r="E56" i="7"/>
  <c r="Q48" i="7"/>
  <c r="M48" i="7"/>
  <c r="Q30" i="7"/>
  <c r="O30" i="7"/>
  <c r="Q46" i="7"/>
  <c r="E55" i="7"/>
  <c r="P46" i="7"/>
  <c r="M46" i="7"/>
  <c r="N46" i="7"/>
  <c r="M22" i="7"/>
  <c r="Q22" i="7"/>
  <c r="N22" i="7"/>
  <c r="P22" i="7"/>
  <c r="A1" i="7" l="1"/>
  <c r="P76" i="11" l="1"/>
  <c r="N76" i="11"/>
  <c r="O76" i="11"/>
  <c r="Q53" i="11"/>
  <c r="P53" i="11"/>
  <c r="O53" i="11"/>
  <c r="N53" i="11"/>
  <c r="N22" i="11" l="1"/>
  <c r="AA42" i="11" s="1"/>
  <c r="G21" i="11"/>
  <c r="T36" i="11"/>
  <c r="U36" i="11"/>
  <c r="V36" i="11"/>
  <c r="W36" i="11"/>
  <c r="X36" i="11"/>
  <c r="Y36" i="11"/>
  <c r="G19" i="11"/>
  <c r="H19" i="11"/>
  <c r="H17" i="11"/>
  <c r="H18" i="11" s="1"/>
  <c r="H22" i="11" s="1"/>
  <c r="F153" i="9" s="1"/>
  <c r="I17" i="11"/>
  <c r="I16" i="11" s="1"/>
  <c r="J17" i="11"/>
  <c r="J16" i="11" s="1"/>
  <c r="K17" i="11"/>
  <c r="K16" i="11" s="1"/>
  <c r="L17" i="11"/>
  <c r="V38" i="11"/>
  <c r="W38" i="11"/>
  <c r="X38" i="11"/>
  <c r="Y38" i="11"/>
  <c r="V37" i="11"/>
  <c r="W37" i="11"/>
  <c r="X37" i="11"/>
  <c r="Y37" i="11"/>
  <c r="E16" i="2"/>
  <c r="F16" i="2"/>
  <c r="G16" i="2"/>
  <c r="H16" i="2"/>
  <c r="D16" i="2"/>
  <c r="F18" i="2"/>
  <c r="I79" i="11" s="1"/>
  <c r="G18" i="2"/>
  <c r="J79" i="11" s="1"/>
  <c r="H18" i="2"/>
  <c r="K79" i="11" s="1"/>
  <c r="H19" i="2"/>
  <c r="I19" i="2"/>
  <c r="H21" i="2"/>
  <c r="G21" i="2"/>
  <c r="F21" i="2"/>
  <c r="E21" i="2"/>
  <c r="I14" i="2"/>
  <c r="I18" i="2"/>
  <c r="L79" i="11" s="1"/>
  <c r="I13" i="2"/>
  <c r="H14" i="2"/>
  <c r="H13" i="2"/>
  <c r="G14" i="2"/>
  <c r="G19" i="2"/>
  <c r="G13" i="2"/>
  <c r="F19" i="2"/>
  <c r="F14" i="2"/>
  <c r="F13" i="2"/>
  <c r="E14" i="2"/>
  <c r="E13" i="2"/>
  <c r="E19" i="2"/>
  <c r="E18" i="2"/>
  <c r="H79" i="11" s="1"/>
  <c r="D18" i="2"/>
  <c r="G79" i="11" s="1"/>
  <c r="D19" i="2"/>
  <c r="D21" i="2"/>
  <c r="D14" i="2"/>
  <c r="D13" i="2"/>
  <c r="E11" i="2"/>
  <c r="U43" i="11" s="1"/>
  <c r="F11" i="2"/>
  <c r="V43" i="11" s="1"/>
  <c r="G11" i="2"/>
  <c r="W43" i="11" s="1"/>
  <c r="H11" i="2"/>
  <c r="X43" i="11" s="1"/>
  <c r="I11" i="2"/>
  <c r="Y43" i="11" s="1"/>
  <c r="D11" i="2"/>
  <c r="T43" i="11" s="1"/>
  <c r="E10" i="2"/>
  <c r="F10" i="2"/>
  <c r="G10" i="2"/>
  <c r="H10" i="2"/>
  <c r="I10" i="2"/>
  <c r="D10" i="2"/>
  <c r="L153" i="9" l="1"/>
  <c r="K12" i="15"/>
  <c r="N20" i="8" s="1"/>
  <c r="N49" i="11"/>
  <c r="N47" i="11"/>
  <c r="N45" i="11"/>
  <c r="L16" i="11"/>
  <c r="W47" i="11"/>
  <c r="K60" i="7"/>
  <c r="X42" i="11"/>
  <c r="X46" i="11" s="1"/>
  <c r="V47" i="11"/>
  <c r="G60" i="7"/>
  <c r="T42" i="11"/>
  <c r="T44" i="11" s="1"/>
  <c r="X47" i="11"/>
  <c r="L60" i="7"/>
  <c r="Y42" i="11"/>
  <c r="Y46" i="11" s="1"/>
  <c r="J60" i="7"/>
  <c r="W42" i="11"/>
  <c r="W46" i="11" s="1"/>
  <c r="U47" i="11"/>
  <c r="I60" i="7"/>
  <c r="V42" i="11"/>
  <c r="V46" i="11" s="1"/>
  <c r="H60" i="7"/>
  <c r="U42" i="11"/>
  <c r="U46" i="11" s="1"/>
  <c r="T47" i="11"/>
  <c r="Y47" i="11"/>
  <c r="Y48" i="11"/>
  <c r="G17" i="2"/>
  <c r="G20" i="2" s="1"/>
  <c r="G22" i="2" s="1"/>
  <c r="Y49" i="11"/>
  <c r="G15" i="2"/>
  <c r="K10" i="2"/>
  <c r="N20" i="11"/>
  <c r="N9" i="7"/>
  <c r="N65" i="7" s="1"/>
  <c r="N23" i="14" s="1"/>
  <c r="L21" i="11"/>
  <c r="I21" i="11"/>
  <c r="H21" i="11"/>
  <c r="K21" i="11"/>
  <c r="J21" i="11"/>
  <c r="I18" i="11"/>
  <c r="I22" i="11" s="1"/>
  <c r="G153" i="9" s="1"/>
  <c r="L18" i="11"/>
  <c r="L22" i="11" s="1"/>
  <c r="J153" i="9" s="1"/>
  <c r="K18" i="11"/>
  <c r="K22" i="11" s="1"/>
  <c r="I153" i="9" s="1"/>
  <c r="J18" i="11"/>
  <c r="J22" i="11" s="1"/>
  <c r="H153" i="9" s="1"/>
  <c r="H16" i="11"/>
  <c r="F12" i="2"/>
  <c r="F17" i="2" s="1"/>
  <c r="F20" i="2" s="1"/>
  <c r="F22" i="2" s="1"/>
  <c r="E12" i="2"/>
  <c r="E17" i="2" s="1"/>
  <c r="E20" i="2" s="1"/>
  <c r="E22" i="2" s="1"/>
  <c r="H12" i="2"/>
  <c r="H17" i="2" s="1"/>
  <c r="D12" i="2"/>
  <c r="D17" i="2" s="1"/>
  <c r="D20" i="2" s="1"/>
  <c r="D22" i="2" s="1"/>
  <c r="I12" i="2"/>
  <c r="I17" i="2" s="1"/>
  <c r="G12" i="2"/>
  <c r="K13" i="15" l="1"/>
  <c r="N56" i="11" s="1"/>
  <c r="AA43" i="11"/>
  <c r="AA44" i="11" s="1"/>
  <c r="K153" i="9"/>
  <c r="L134" i="9"/>
  <c r="L138" i="9" s="1"/>
  <c r="L106" i="9"/>
  <c r="L107" i="9" s="1"/>
  <c r="N122" i="8" s="1"/>
  <c r="K11" i="2"/>
  <c r="K12" i="2" s="1"/>
  <c r="J12" i="15"/>
  <c r="J13" i="15"/>
  <c r="J10" i="2"/>
  <c r="T46" i="11"/>
  <c r="T49" i="11"/>
  <c r="X44" i="11"/>
  <c r="W49" i="11"/>
  <c r="W48" i="11"/>
  <c r="V48" i="11"/>
  <c r="T48" i="11"/>
  <c r="K13" i="2"/>
  <c r="K16" i="15"/>
  <c r="K14" i="2"/>
  <c r="K15" i="15"/>
  <c r="H20" i="2"/>
  <c r="H15" i="2"/>
  <c r="V44" i="11"/>
  <c r="V49" i="11"/>
  <c r="J11" i="8"/>
  <c r="U49" i="11"/>
  <c r="H11" i="8"/>
  <c r="U44" i="11"/>
  <c r="G23" i="2"/>
  <c r="X48" i="11"/>
  <c r="G11" i="8"/>
  <c r="W44" i="11"/>
  <c r="I11" i="8"/>
  <c r="X49" i="11"/>
  <c r="K11" i="8"/>
  <c r="U48" i="11"/>
  <c r="L11" i="8"/>
  <c r="D23" i="2"/>
  <c r="E15" i="2"/>
  <c r="D15" i="2"/>
  <c r="I20" i="2"/>
  <c r="I15" i="2"/>
  <c r="F23" i="2"/>
  <c r="F15" i="2"/>
  <c r="E23" i="2"/>
  <c r="M49" i="11"/>
  <c r="J16" i="15" s="1"/>
  <c r="N15" i="8"/>
  <c r="M9" i="7"/>
  <c r="M65" i="7" s="1"/>
  <c r="M23" i="14" s="1"/>
  <c r="M47" i="11"/>
  <c r="M21" i="11"/>
  <c r="N15" i="11" s="1"/>
  <c r="N17" i="11" s="1"/>
  <c r="N21" i="11" s="1"/>
  <c r="N13" i="7"/>
  <c r="N88" i="7" s="1"/>
  <c r="A1" i="12"/>
  <c r="K47" i="9"/>
  <c r="K51" i="9" s="1"/>
  <c r="J20" i="15" s="1"/>
  <c r="M56" i="11" l="1"/>
  <c r="K134" i="9"/>
  <c r="K138" i="9" s="1"/>
  <c r="K137" i="9" s="1"/>
  <c r="J43" i="13" s="1"/>
  <c r="M110" i="8" s="1"/>
  <c r="K106" i="9"/>
  <c r="K107" i="9" s="1"/>
  <c r="M122" i="8" s="1"/>
  <c r="M20" i="8"/>
  <c r="M11" i="8" s="1"/>
  <c r="M69" i="8" s="1"/>
  <c r="L136" i="9"/>
  <c r="K52" i="13" s="1"/>
  <c r="N109" i="8" s="1"/>
  <c r="L137" i="9"/>
  <c r="K43" i="13" s="1"/>
  <c r="N110" i="8" s="1"/>
  <c r="M15" i="8"/>
  <c r="M16" i="8" s="1"/>
  <c r="M52" i="11"/>
  <c r="J64" i="8"/>
  <c r="J33" i="8"/>
  <c r="G64" i="8"/>
  <c r="G33" i="8"/>
  <c r="I64" i="8"/>
  <c r="I33" i="8"/>
  <c r="L64" i="8"/>
  <c r="L33" i="8"/>
  <c r="K64" i="8"/>
  <c r="K33" i="8"/>
  <c r="H64" i="8"/>
  <c r="H33" i="8"/>
  <c r="K15" i="2"/>
  <c r="M13" i="7"/>
  <c r="M88" i="7" s="1"/>
  <c r="M16" i="10"/>
  <c r="N26" i="14"/>
  <c r="L149" i="9" s="1"/>
  <c r="N16" i="10"/>
  <c r="H69" i="8"/>
  <c r="H71" i="8" s="1"/>
  <c r="I69" i="8"/>
  <c r="I71" i="8" s="1"/>
  <c r="L69" i="8"/>
  <c r="L71" i="8" s="1"/>
  <c r="J69" i="8"/>
  <c r="J71" i="8" s="1"/>
  <c r="K69" i="8"/>
  <c r="K71" i="8" s="1"/>
  <c r="G69" i="8"/>
  <c r="G71" i="8" s="1"/>
  <c r="N11" i="8"/>
  <c r="N69" i="8" s="1"/>
  <c r="N70" i="8" s="1"/>
  <c r="K25" i="13" s="1"/>
  <c r="N23" i="8"/>
  <c r="K24" i="13" s="1"/>
  <c r="J11" i="2"/>
  <c r="J12" i="2" s="1"/>
  <c r="J14" i="2"/>
  <c r="J15" i="15"/>
  <c r="J13" i="2"/>
  <c r="H22" i="2"/>
  <c r="H23" i="2"/>
  <c r="I23" i="2"/>
  <c r="I22" i="2"/>
  <c r="I78" i="8"/>
  <c r="J78" i="8"/>
  <c r="L84" i="8"/>
  <c r="G78" i="8"/>
  <c r="H78" i="8"/>
  <c r="K84" i="8"/>
  <c r="I84" i="8"/>
  <c r="L78" i="8"/>
  <c r="M79" i="8" s="1"/>
  <c r="J84" i="8"/>
  <c r="H84" i="8"/>
  <c r="K78" i="8"/>
  <c r="N12" i="8"/>
  <c r="N25" i="8"/>
  <c r="K23" i="13" s="1"/>
  <c r="O22" i="11"/>
  <c r="AB42" i="11" s="1"/>
  <c r="O15" i="11"/>
  <c r="O17" i="11" s="1"/>
  <c r="P22" i="11" s="1"/>
  <c r="AC42" i="11" s="1"/>
  <c r="N29" i="8"/>
  <c r="N16" i="8"/>
  <c r="K22" i="13" s="1"/>
  <c r="N45" i="7"/>
  <c r="N29" i="7"/>
  <c r="N36" i="7" s="1"/>
  <c r="N52" i="11"/>
  <c r="K14" i="15" s="1"/>
  <c r="K18" i="15" s="1"/>
  <c r="N11" i="10" s="1"/>
  <c r="N13" i="10" s="1"/>
  <c r="E4" i="2"/>
  <c r="A1" i="11"/>
  <c r="M153" i="9" l="1"/>
  <c r="N153" i="9"/>
  <c r="M25" i="8"/>
  <c r="M95" i="8" s="1"/>
  <c r="M23" i="8"/>
  <c r="J24" i="13" s="1"/>
  <c r="M113" i="8" s="1"/>
  <c r="M129" i="8" s="1"/>
  <c r="N111" i="8"/>
  <c r="M93" i="8"/>
  <c r="J22" i="13"/>
  <c r="M112" i="8" s="1"/>
  <c r="M128" i="8" s="1"/>
  <c r="M29" i="8"/>
  <c r="K145" i="9"/>
  <c r="M92" i="8" s="1"/>
  <c r="K136" i="9"/>
  <c r="L145" i="9"/>
  <c r="N92" i="8" s="1"/>
  <c r="M12" i="15"/>
  <c r="P20" i="8" s="1"/>
  <c r="P47" i="11"/>
  <c r="P49" i="11"/>
  <c r="P45" i="11"/>
  <c r="O47" i="11"/>
  <c r="O49" i="11"/>
  <c r="O45" i="11"/>
  <c r="M12" i="8"/>
  <c r="M34" i="8" s="1"/>
  <c r="N102" i="8"/>
  <c r="N117" i="8"/>
  <c r="J14" i="15"/>
  <c r="J18" i="15" s="1"/>
  <c r="N113" i="8"/>
  <c r="M32" i="8"/>
  <c r="J51" i="13" s="1"/>
  <c r="M26" i="14"/>
  <c r="K149" i="9" s="1"/>
  <c r="N93" i="8"/>
  <c r="N37" i="7"/>
  <c r="L87" i="9"/>
  <c r="L14" i="9" s="1"/>
  <c r="N34" i="8"/>
  <c r="K50" i="13" s="1"/>
  <c r="N32" i="8"/>
  <c r="J15" i="2"/>
  <c r="N115" i="8"/>
  <c r="N112" i="8"/>
  <c r="M45" i="7"/>
  <c r="M29" i="7"/>
  <c r="M36" i="7" s="1"/>
  <c r="L12" i="15"/>
  <c r="M17" i="7"/>
  <c r="P9" i="7"/>
  <c r="P65" i="7" s="1"/>
  <c r="P23" i="14" s="1"/>
  <c r="M10" i="2"/>
  <c r="O9" i="7"/>
  <c r="O65" i="7" s="1"/>
  <c r="O23" i="14" s="1"/>
  <c r="L10" i="2"/>
  <c r="O20" i="11"/>
  <c r="O21" i="11" s="1"/>
  <c r="P15" i="11" s="1"/>
  <c r="P17" i="11" s="1"/>
  <c r="Q22" i="11" s="1"/>
  <c r="M80" i="8"/>
  <c r="M78" i="8" s="1"/>
  <c r="N79" i="8"/>
  <c r="O79" i="8" s="1"/>
  <c r="P79" i="8" s="1"/>
  <c r="Q79" i="8" s="1"/>
  <c r="M86" i="8"/>
  <c r="M84" i="8" s="1"/>
  <c r="M83" i="8" s="1"/>
  <c r="J44" i="13" s="1"/>
  <c r="P20" i="11"/>
  <c r="Q7" i="11"/>
  <c r="P7" i="11"/>
  <c r="O7" i="11"/>
  <c r="N7" i="11"/>
  <c r="M7" i="11"/>
  <c r="L7" i="11"/>
  <c r="K7" i="11"/>
  <c r="J7" i="11"/>
  <c r="I7" i="11"/>
  <c r="H7" i="11"/>
  <c r="G7" i="11"/>
  <c r="Q6" i="11"/>
  <c r="P6" i="11"/>
  <c r="O6" i="11"/>
  <c r="N6" i="11"/>
  <c r="M6" i="11"/>
  <c r="L6" i="11"/>
  <c r="K6" i="11"/>
  <c r="J6" i="11"/>
  <c r="I6" i="11"/>
  <c r="H6" i="11"/>
  <c r="G6" i="11"/>
  <c r="Q4" i="11"/>
  <c r="P4" i="11"/>
  <c r="O4" i="11"/>
  <c r="N4" i="11"/>
  <c r="M4" i="11"/>
  <c r="L4" i="11"/>
  <c r="K4" i="11"/>
  <c r="J4" i="11"/>
  <c r="I4" i="11"/>
  <c r="H4" i="11"/>
  <c r="G4" i="11"/>
  <c r="N95" i="8" l="1"/>
  <c r="M13" i="15"/>
  <c r="P56" i="11" s="1"/>
  <c r="AC43" i="11"/>
  <c r="AC44" i="11" s="1"/>
  <c r="Q11" i="11"/>
  <c r="AD42" i="11"/>
  <c r="L13" i="15"/>
  <c r="O56" i="11" s="1"/>
  <c r="AB43" i="11"/>
  <c r="AB44" i="11" s="1"/>
  <c r="M11" i="10"/>
  <c r="M13" i="10" s="1"/>
  <c r="J23" i="13"/>
  <c r="M115" i="8" s="1"/>
  <c r="M131" i="8" s="1"/>
  <c r="O153" i="9"/>
  <c r="M96" i="8"/>
  <c r="J50" i="13"/>
  <c r="M116" i="8" s="1"/>
  <c r="M132" i="8" s="1"/>
  <c r="J52" i="13"/>
  <c r="N75" i="8"/>
  <c r="K51" i="13"/>
  <c r="M134" i="9"/>
  <c r="M138" i="9" s="1"/>
  <c r="M106" i="9"/>
  <c r="M107" i="9" s="1"/>
  <c r="O122" i="8" s="1"/>
  <c r="N134" i="9"/>
  <c r="N138" i="9" s="1"/>
  <c r="N137" i="9" s="1"/>
  <c r="M43" i="13" s="1"/>
  <c r="P110" i="8" s="1"/>
  <c r="N106" i="9"/>
  <c r="N107" i="9" s="1"/>
  <c r="P122" i="8" s="1"/>
  <c r="M11" i="2"/>
  <c r="M12" i="2" s="1"/>
  <c r="L11" i="2"/>
  <c r="L12" i="2" s="1"/>
  <c r="N12" i="15"/>
  <c r="Q47" i="11"/>
  <c r="Q49" i="11"/>
  <c r="Q45" i="11"/>
  <c r="N96" i="8"/>
  <c r="N128" i="8"/>
  <c r="N129" i="8"/>
  <c r="M114" i="8"/>
  <c r="M130" i="8" s="1"/>
  <c r="M75" i="8"/>
  <c r="M70" i="8"/>
  <c r="J25" i="13" s="1"/>
  <c r="N12" i="7"/>
  <c r="N15" i="7" s="1"/>
  <c r="N17" i="7" s="1"/>
  <c r="O12" i="7" s="1"/>
  <c r="O15" i="7" s="1"/>
  <c r="N116" i="8"/>
  <c r="M37" i="7"/>
  <c r="K87" i="9"/>
  <c r="K14" i="9" s="1"/>
  <c r="O20" i="8"/>
  <c r="O23" i="8" s="1"/>
  <c r="L24" i="13" s="1"/>
  <c r="P11" i="8"/>
  <c r="P69" i="8" s="1"/>
  <c r="P70" i="8" s="1"/>
  <c r="P23" i="8"/>
  <c r="M24" i="13" s="1"/>
  <c r="O15" i="8"/>
  <c r="M13" i="2"/>
  <c r="M16" i="15"/>
  <c r="L13" i="2"/>
  <c r="L16" i="15"/>
  <c r="M14" i="2"/>
  <c r="M15" i="15"/>
  <c r="L14" i="2"/>
  <c r="L15" i="15"/>
  <c r="P16" i="10"/>
  <c r="P13" i="7"/>
  <c r="P88" i="7" s="1"/>
  <c r="O13" i="7"/>
  <c r="O88" i="7" s="1"/>
  <c r="O52" i="11"/>
  <c r="Q9" i="7"/>
  <c r="Q65" i="7" s="1"/>
  <c r="Q23" i="14" s="1"/>
  <c r="N10" i="2"/>
  <c r="N86" i="8"/>
  <c r="N84" i="8" s="1"/>
  <c r="N83" i="8" s="1"/>
  <c r="K44" i="13" s="1"/>
  <c r="N80" i="8"/>
  <c r="M77" i="8"/>
  <c r="J53" i="13" s="1"/>
  <c r="P25" i="8"/>
  <c r="M23" i="13" s="1"/>
  <c r="P15" i="8"/>
  <c r="Q20" i="11"/>
  <c r="P21" i="11"/>
  <c r="Q15" i="11" s="1"/>
  <c r="Q17" i="11" s="1"/>
  <c r="Q7" i="10"/>
  <c r="P7" i="10"/>
  <c r="O7" i="10"/>
  <c r="N7" i="10"/>
  <c r="M7" i="10"/>
  <c r="L7" i="10"/>
  <c r="K7" i="10"/>
  <c r="J7" i="10"/>
  <c r="I7" i="10"/>
  <c r="H7" i="10"/>
  <c r="G7" i="10"/>
  <c r="Q6" i="10"/>
  <c r="P6" i="10"/>
  <c r="O6" i="10"/>
  <c r="N6" i="10"/>
  <c r="M6" i="10"/>
  <c r="L6" i="10"/>
  <c r="K6" i="10"/>
  <c r="J6" i="10"/>
  <c r="I6" i="10"/>
  <c r="H6" i="10"/>
  <c r="G6" i="10"/>
  <c r="Q4" i="10"/>
  <c r="P4" i="10"/>
  <c r="O4" i="10"/>
  <c r="N4" i="10"/>
  <c r="M4" i="10"/>
  <c r="L4" i="10"/>
  <c r="K4" i="10"/>
  <c r="J4" i="10"/>
  <c r="I4" i="10"/>
  <c r="H4" i="10"/>
  <c r="G4" i="10"/>
  <c r="O7" i="9"/>
  <c r="N7" i="9"/>
  <c r="M7" i="9"/>
  <c r="L7" i="9"/>
  <c r="K7" i="9"/>
  <c r="J7" i="9"/>
  <c r="I7" i="9"/>
  <c r="H7" i="9"/>
  <c r="G7" i="9"/>
  <c r="F7" i="9"/>
  <c r="E7" i="9"/>
  <c r="O6" i="9"/>
  <c r="N6" i="9"/>
  <c r="M6" i="9"/>
  <c r="L6" i="9"/>
  <c r="K6" i="9"/>
  <c r="J6" i="9"/>
  <c r="I6" i="9"/>
  <c r="H6" i="9"/>
  <c r="G6" i="9"/>
  <c r="F6" i="9"/>
  <c r="E6" i="9"/>
  <c r="O4" i="9"/>
  <c r="N4" i="9"/>
  <c r="M4" i="9"/>
  <c r="L4" i="9"/>
  <c r="K4" i="9"/>
  <c r="J4" i="9"/>
  <c r="I4" i="9"/>
  <c r="H4" i="9"/>
  <c r="G4" i="9"/>
  <c r="F4" i="9"/>
  <c r="E4" i="9"/>
  <c r="Q7" i="8"/>
  <c r="P7" i="8"/>
  <c r="O7" i="8"/>
  <c r="N7" i="8"/>
  <c r="M7" i="8"/>
  <c r="L7" i="8"/>
  <c r="K7" i="8"/>
  <c r="J7" i="8"/>
  <c r="I7" i="8"/>
  <c r="H7" i="8"/>
  <c r="G7" i="8"/>
  <c r="Q6" i="8"/>
  <c r="P6" i="8"/>
  <c r="O6" i="8"/>
  <c r="N6" i="8"/>
  <c r="M6" i="8"/>
  <c r="L6" i="8"/>
  <c r="K6" i="8"/>
  <c r="J6" i="8"/>
  <c r="I6" i="8"/>
  <c r="H6" i="8"/>
  <c r="G6" i="8"/>
  <c r="Q4" i="8"/>
  <c r="P4" i="8"/>
  <c r="O4" i="8"/>
  <c r="N4" i="8"/>
  <c r="M4" i="8"/>
  <c r="L4" i="8"/>
  <c r="K4" i="8"/>
  <c r="J4" i="8"/>
  <c r="I4" i="8"/>
  <c r="H4" i="8"/>
  <c r="G4" i="8"/>
  <c r="A1" i="8"/>
  <c r="Q7" i="7"/>
  <c r="P7" i="7"/>
  <c r="O7" i="7"/>
  <c r="N7" i="7"/>
  <c r="M7" i="7"/>
  <c r="L7" i="7"/>
  <c r="K7" i="7"/>
  <c r="J7" i="7"/>
  <c r="I7" i="7"/>
  <c r="H7" i="7"/>
  <c r="G7" i="7"/>
  <c r="Q6" i="7"/>
  <c r="P6" i="7"/>
  <c r="O6" i="7"/>
  <c r="N6" i="7"/>
  <c r="M6" i="7"/>
  <c r="L6" i="7"/>
  <c r="K6" i="7"/>
  <c r="J6" i="7"/>
  <c r="I6" i="7"/>
  <c r="H6" i="7"/>
  <c r="G6" i="7"/>
  <c r="Q4" i="7"/>
  <c r="P4" i="7"/>
  <c r="O4" i="7"/>
  <c r="N4" i="7"/>
  <c r="M4" i="7"/>
  <c r="L4" i="7"/>
  <c r="K4" i="7"/>
  <c r="J4" i="7"/>
  <c r="I4" i="7"/>
  <c r="H4" i="7"/>
  <c r="G4" i="7"/>
  <c r="D4" i="2"/>
  <c r="D7" i="2"/>
  <c r="D6" i="2"/>
  <c r="J4" i="2"/>
  <c r="K4" i="2"/>
  <c r="L4" i="2"/>
  <c r="M4" i="2"/>
  <c r="N4" i="2"/>
  <c r="F4" i="2"/>
  <c r="G4" i="2"/>
  <c r="H4" i="2"/>
  <c r="I4" i="2"/>
  <c r="F7" i="2"/>
  <c r="G7" i="2"/>
  <c r="H7" i="2"/>
  <c r="I7" i="2"/>
  <c r="J7" i="2"/>
  <c r="K7" i="2"/>
  <c r="L7" i="2"/>
  <c r="M7" i="2"/>
  <c r="N7" i="2"/>
  <c r="E7" i="2"/>
  <c r="F6" i="2"/>
  <c r="G6" i="2"/>
  <c r="H6" i="2"/>
  <c r="I6" i="2"/>
  <c r="J6" i="2"/>
  <c r="K6" i="2"/>
  <c r="L6" i="2"/>
  <c r="M6" i="2"/>
  <c r="N6" i="2"/>
  <c r="E6" i="2"/>
  <c r="A1" i="2"/>
  <c r="B1" i="1"/>
  <c r="L14" i="15" l="1"/>
  <c r="L18" i="15" s="1"/>
  <c r="O11" i="10" s="1"/>
  <c r="O13" i="10" s="1"/>
  <c r="N131" i="8"/>
  <c r="N13" i="15"/>
  <c r="Q56" i="11" s="1"/>
  <c r="AD43" i="11"/>
  <c r="AD44" i="11" s="1"/>
  <c r="M111" i="8"/>
  <c r="M127" i="8" s="1"/>
  <c r="M109" i="8"/>
  <c r="N132" i="8"/>
  <c r="M25" i="13"/>
  <c r="P102" i="8" s="1"/>
  <c r="N136" i="9"/>
  <c r="N145" i="9"/>
  <c r="P92" i="8" s="1"/>
  <c r="M145" i="9"/>
  <c r="O92" i="8" s="1"/>
  <c r="O134" i="9"/>
  <c r="O138" i="9" s="1"/>
  <c r="O145" i="9" s="1"/>
  <c r="Q92" i="8" s="1"/>
  <c r="O106" i="9"/>
  <c r="O107" i="9" s="1"/>
  <c r="Q122" i="8" s="1"/>
  <c r="M137" i="9"/>
  <c r="L43" i="13" s="1"/>
  <c r="O110" i="8" s="1"/>
  <c r="M136" i="9"/>
  <c r="L52" i="13" s="1"/>
  <c r="O109" i="8" s="1"/>
  <c r="Q20" i="8"/>
  <c r="Q23" i="8" s="1"/>
  <c r="N24" i="13" s="1"/>
  <c r="N11" i="2"/>
  <c r="N12" i="2" s="1"/>
  <c r="N114" i="8"/>
  <c r="N130" i="8" s="1"/>
  <c r="M102" i="8"/>
  <c r="M117" i="8"/>
  <c r="P113" i="8"/>
  <c r="O113" i="8"/>
  <c r="O129" i="8" s="1"/>
  <c r="N94" i="8"/>
  <c r="M94" i="8"/>
  <c r="M101" i="8"/>
  <c r="O26" i="14"/>
  <c r="M149" i="9" s="1"/>
  <c r="O16" i="10"/>
  <c r="P26" i="14"/>
  <c r="N149" i="9" s="1"/>
  <c r="P45" i="7"/>
  <c r="P29" i="7"/>
  <c r="P36" i="7" s="1"/>
  <c r="P32" i="8"/>
  <c r="O16" i="8"/>
  <c r="L22" i="13" s="1"/>
  <c r="P115" i="8"/>
  <c r="O29" i="8"/>
  <c r="O12" i="8"/>
  <c r="M15" i="2"/>
  <c r="L15" i="2"/>
  <c r="N14" i="2"/>
  <c r="N15" i="15"/>
  <c r="N13" i="2"/>
  <c r="N16" i="15"/>
  <c r="Q13" i="7"/>
  <c r="Q88" i="7" s="1"/>
  <c r="O17" i="7"/>
  <c r="P12" i="7" s="1"/>
  <c r="P15" i="7" s="1"/>
  <c r="P17" i="7" s="1"/>
  <c r="O11" i="8"/>
  <c r="O25" i="8"/>
  <c r="L23" i="13" s="1"/>
  <c r="O29" i="7"/>
  <c r="O36" i="7" s="1"/>
  <c r="O45" i="7"/>
  <c r="N78" i="8"/>
  <c r="N77" i="8" s="1"/>
  <c r="K53" i="13" s="1"/>
  <c r="O80" i="8"/>
  <c r="O86" i="8"/>
  <c r="P12" i="8"/>
  <c r="Q15" i="8"/>
  <c r="P29" i="8"/>
  <c r="P16" i="8"/>
  <c r="M22" i="13" s="1"/>
  <c r="Q21" i="11"/>
  <c r="Q52" i="11"/>
  <c r="P52" i="11"/>
  <c r="M14" i="15" s="1"/>
  <c r="M18" i="15" s="1"/>
  <c r="P11" i="10" s="1"/>
  <c r="P13" i="10" s="1"/>
  <c r="N14" i="15" l="1"/>
  <c r="N127" i="8"/>
  <c r="N133" i="8"/>
  <c r="M133" i="8"/>
  <c r="Q25" i="8"/>
  <c r="Q95" i="8" s="1"/>
  <c r="O111" i="8"/>
  <c r="O127" i="8" s="1"/>
  <c r="P117" i="8"/>
  <c r="P75" i="8"/>
  <c r="M51" i="13"/>
  <c r="O136" i="9"/>
  <c r="N52" i="13" s="1"/>
  <c r="Q109" i="8" s="1"/>
  <c r="Q11" i="8"/>
  <c r="Q69" i="8" s="1"/>
  <c r="Q70" i="8" s="1"/>
  <c r="N25" i="13" s="1"/>
  <c r="O137" i="9"/>
  <c r="N43" i="13" s="1"/>
  <c r="Q110" i="8" s="1"/>
  <c r="M52" i="13"/>
  <c r="P129" i="8"/>
  <c r="Q113" i="8"/>
  <c r="Q129" i="8" s="1"/>
  <c r="N101" i="8"/>
  <c r="Q26" i="14"/>
  <c r="O149" i="9" s="1"/>
  <c r="Q16" i="10"/>
  <c r="P86" i="8"/>
  <c r="P84" i="8" s="1"/>
  <c r="P83" i="8" s="1"/>
  <c r="M44" i="13" s="1"/>
  <c r="O84" i="8"/>
  <c r="O83" i="8" s="1"/>
  <c r="L44" i="13" s="1"/>
  <c r="P95" i="8"/>
  <c r="O95" i="8"/>
  <c r="P93" i="8"/>
  <c r="O93" i="8"/>
  <c r="O37" i="7"/>
  <c r="M87" i="9"/>
  <c r="M14" i="9" s="1"/>
  <c r="P37" i="7"/>
  <c r="N87" i="9"/>
  <c r="N14" i="9" s="1"/>
  <c r="O32" i="8"/>
  <c r="O69" i="8"/>
  <c r="O70" i="8" s="1"/>
  <c r="L25" i="13" s="1"/>
  <c r="O112" i="8"/>
  <c r="O128" i="8" s="1"/>
  <c r="P34" i="8"/>
  <c r="M50" i="13" s="1"/>
  <c r="O34" i="8"/>
  <c r="O115" i="8"/>
  <c r="P112" i="8"/>
  <c r="N15" i="2"/>
  <c r="N18" i="15"/>
  <c r="Q11" i="10" s="1"/>
  <c r="Q13" i="10" s="1"/>
  <c r="Q45" i="7"/>
  <c r="Q29" i="7"/>
  <c r="Q36" i="7" s="1"/>
  <c r="O78" i="8"/>
  <c r="O77" i="8" s="1"/>
  <c r="L53" i="13" s="1"/>
  <c r="P80" i="8"/>
  <c r="Q12" i="8"/>
  <c r="Q29" i="8"/>
  <c r="Q16" i="8"/>
  <c r="Q12" i="7"/>
  <c r="Q15" i="7" s="1"/>
  <c r="Q17" i="7" s="1"/>
  <c r="P111" i="8" l="1"/>
  <c r="P127" i="8" s="1"/>
  <c r="P109" i="8"/>
  <c r="N23" i="13"/>
  <c r="Q115" i="8" s="1"/>
  <c r="Q131" i="8" s="1"/>
  <c r="P131" i="8"/>
  <c r="O131" i="8"/>
  <c r="Q111" i="8"/>
  <c r="Q102" i="8"/>
  <c r="Q117" i="8"/>
  <c r="Q133" i="8" s="1"/>
  <c r="O96" i="8"/>
  <c r="L50" i="13"/>
  <c r="O116" i="8" s="1"/>
  <c r="O132" i="8" s="1"/>
  <c r="Q32" i="8"/>
  <c r="Q93" i="8"/>
  <c r="N22" i="13"/>
  <c r="Q112" i="8" s="1"/>
  <c r="Q128" i="8" s="1"/>
  <c r="O75" i="8"/>
  <c r="L51" i="13"/>
  <c r="P128" i="8"/>
  <c r="P114" i="8"/>
  <c r="O102" i="8"/>
  <c r="O117" i="8"/>
  <c r="P96" i="8"/>
  <c r="Q86" i="8"/>
  <c r="Q84" i="8" s="1"/>
  <c r="Q83" i="8" s="1"/>
  <c r="N44" i="13" s="1"/>
  <c r="P116" i="8"/>
  <c r="Q37" i="7"/>
  <c r="O87" i="9"/>
  <c r="O14" i="9" s="1"/>
  <c r="Q34" i="8"/>
  <c r="N50" i="13" s="1"/>
  <c r="Q80" i="8"/>
  <c r="Q78" i="8" s="1"/>
  <c r="Q77" i="8" s="1"/>
  <c r="N53" i="13" s="1"/>
  <c r="P78" i="8"/>
  <c r="P77" i="8" s="1"/>
  <c r="M53" i="13" s="1"/>
  <c r="Q127" i="8" l="1"/>
  <c r="P132" i="8"/>
  <c r="P133" i="8"/>
  <c r="O133" i="8"/>
  <c r="Q75" i="8"/>
  <c r="Q94" i="8" s="1"/>
  <c r="N51" i="13"/>
  <c r="Q114" i="8" s="1"/>
  <c r="Q130" i="8" s="1"/>
  <c r="O114" i="8"/>
  <c r="O130" i="8" s="1"/>
  <c r="Q116" i="8"/>
  <c r="Q132" i="8" s="1"/>
  <c r="Q96" i="8"/>
  <c r="O101" i="8"/>
  <c r="P101" i="8"/>
  <c r="P94" i="8"/>
  <c r="O94" i="8"/>
  <c r="P130" i="8" l="1"/>
  <c r="Q101" i="8"/>
  <c r="G17" i="9"/>
  <c r="H17" i="9"/>
  <c r="I17" i="9"/>
  <c r="J17" i="9"/>
  <c r="K12" i="9" l="1"/>
  <c r="G24" i="7" l="1"/>
  <c r="H24" i="7"/>
  <c r="H25" i="7" s="1"/>
  <c r="I24" i="7"/>
  <c r="I25" i="7" s="1"/>
  <c r="J24" i="7"/>
  <c r="J25" i="7" s="1"/>
  <c r="K24" i="7"/>
  <c r="K25" i="7" s="1"/>
  <c r="L24" i="7"/>
  <c r="L25" i="7" s="1"/>
  <c r="G25" i="7"/>
  <c r="K53" i="7" l="1"/>
  <c r="K68" i="7" s="1"/>
  <c r="L87" i="7"/>
  <c r="K26" i="7"/>
  <c r="M87" i="7"/>
  <c r="L26" i="7"/>
  <c r="I87" i="7"/>
  <c r="H26" i="7"/>
  <c r="J70" i="7"/>
  <c r="J89" i="7" s="1"/>
  <c r="J90" i="7" s="1"/>
  <c r="K87" i="7"/>
  <c r="J26" i="7"/>
  <c r="H87" i="7"/>
  <c r="G26" i="7"/>
  <c r="G53" i="7"/>
  <c r="G68" i="7" s="1"/>
  <c r="G70" i="7" s="1"/>
  <c r="G89" i="7" s="1"/>
  <c r="G90" i="7" s="1"/>
  <c r="J87" i="7"/>
  <c r="I26" i="7"/>
  <c r="M20" i="7"/>
  <c r="I53" i="7"/>
  <c r="I68" i="7" s="1"/>
  <c r="I70" i="7"/>
  <c r="J53" i="7"/>
  <c r="J68" i="7" s="1"/>
  <c r="H53" i="7"/>
  <c r="H68" i="7" s="1"/>
  <c r="H70" i="7" s="1"/>
  <c r="H89" i="7" s="1"/>
  <c r="H90" i="7" s="1"/>
  <c r="L53" i="7"/>
  <c r="K70" i="7"/>
  <c r="K89" i="7" s="1"/>
  <c r="K90" i="7" s="1"/>
  <c r="M89" i="7" l="1"/>
  <c r="M90" i="7" s="1"/>
  <c r="I89" i="7"/>
  <c r="I90" i="7" s="1"/>
  <c r="L70" i="7"/>
  <c r="L89" i="7" s="1"/>
  <c r="L90" i="7" s="1"/>
  <c r="I37" i="8" l="1"/>
  <c r="J37" i="8"/>
  <c r="K37" i="8"/>
  <c r="L37" i="8"/>
  <c r="M103" i="8" l="1"/>
  <c r="M104" i="8" s="1"/>
  <c r="M105" i="8" s="1"/>
  <c r="M97" i="8" s="1"/>
  <c r="M98" i="8" s="1"/>
  <c r="N103" i="8"/>
  <c r="N104" i="8" s="1"/>
  <c r="O103" i="8"/>
  <c r="O104" i="8" s="1"/>
  <c r="P103" i="8"/>
  <c r="P104" i="8" s="1"/>
  <c r="Q103" i="8"/>
  <c r="Q104" i="8" s="1"/>
  <c r="M118" i="8"/>
  <c r="M134" i="8" s="1"/>
  <c r="M135" i="8" s="1"/>
  <c r="N118" i="8"/>
  <c r="O118" i="8"/>
  <c r="P118" i="8"/>
  <c r="Q118" i="8"/>
  <c r="Q134" i="8" l="1"/>
  <c r="P134" i="8"/>
  <c r="O134" i="8"/>
  <c r="O105" i="8"/>
  <c r="O97" i="8" s="1"/>
  <c r="O98" i="8" s="1"/>
  <c r="N134" i="8"/>
  <c r="N105" i="8"/>
  <c r="N97" i="8" s="1"/>
  <c r="N98" i="8" s="1"/>
  <c r="Q105" i="8"/>
  <c r="Q97" i="8" s="1"/>
  <c r="Q98" i="8" s="1"/>
  <c r="P105" i="8"/>
  <c r="P97" i="8" s="1"/>
  <c r="P98" i="8" s="1"/>
  <c r="M17" i="14" l="1"/>
  <c r="M15" i="10" s="1"/>
  <c r="N135" i="8"/>
  <c r="N17" i="14" s="1"/>
  <c r="N15" i="10" s="1"/>
  <c r="O135" i="8"/>
  <c r="O17" i="14" s="1"/>
  <c r="O15" i="10" s="1"/>
  <c r="P135" i="8"/>
  <c r="P17" i="14" s="1"/>
  <c r="P15" i="10" s="1"/>
  <c r="Q135" i="8"/>
  <c r="Q17" i="14" s="1"/>
  <c r="Q15" i="10" s="1"/>
  <c r="K42" i="9" l="1"/>
  <c r="K44" i="9" s="1"/>
  <c r="K55" i="9" l="1"/>
  <c r="J19" i="15"/>
  <c r="J22" i="15" s="1"/>
  <c r="M18" i="14"/>
  <c r="J19" i="2"/>
  <c r="K13" i="9"/>
  <c r="L13" i="9"/>
  <c r="M13" i="9"/>
  <c r="N13" i="9"/>
  <c r="O13" i="9"/>
  <c r="J23" i="15" l="1"/>
  <c r="K104" i="9" s="1"/>
  <c r="J24" i="15" l="1"/>
  <c r="J27" i="15" s="1"/>
  <c r="K103" i="9"/>
  <c r="K127" i="9"/>
  <c r="K20" i="9" l="1"/>
  <c r="K24" i="9" s="1"/>
  <c r="K25" i="9" s="1"/>
  <c r="M32" i="14" s="1"/>
  <c r="K9" i="9"/>
  <c r="J25" i="15"/>
  <c r="M15" i="14"/>
  <c r="K128" i="9"/>
  <c r="M120" i="8"/>
  <c r="K21" i="9" l="1"/>
  <c r="J35" i="13"/>
  <c r="J36" i="13" s="1"/>
  <c r="J38" i="13" s="1"/>
  <c r="L151" i="9"/>
  <c r="O58" i="9"/>
  <c r="L58" i="9"/>
  <c r="N58" i="9"/>
  <c r="M58" i="9" l="1"/>
  <c r="K58" i="9"/>
  <c r="K60" i="9"/>
  <c r="J49" i="13" s="1"/>
  <c r="J63" i="9"/>
  <c r="L60" i="9" l="1"/>
  <c r="K49" i="13" s="1"/>
  <c r="J54" i="13"/>
  <c r="K54" i="13" l="1"/>
  <c r="M60" i="9"/>
  <c r="L49" i="13" s="1"/>
  <c r="L54" i="13" l="1"/>
  <c r="N60" i="9"/>
  <c r="M49" i="13" s="1"/>
  <c r="O60" i="9" l="1"/>
  <c r="N49" i="13" s="1"/>
  <c r="N54" i="13" s="1"/>
  <c r="M54" i="13"/>
  <c r="M84" i="7"/>
  <c r="M16" i="14" s="1"/>
  <c r="M31" i="7"/>
  <c r="M34" i="7" s="1"/>
  <c r="N28" i="7" s="1"/>
  <c r="J16" i="2"/>
  <c r="J17" i="2" s="1"/>
  <c r="J20" i="2" s="1"/>
  <c r="M47" i="7"/>
  <c r="K88" i="9" s="1"/>
  <c r="K16" i="9" s="1"/>
  <c r="K59" i="9" l="1"/>
  <c r="K17" i="9"/>
  <c r="E28" i="10" s="1"/>
  <c r="E21" i="10" s="1"/>
  <c r="M49" i="7"/>
  <c r="N44" i="7" s="1"/>
  <c r="M41" i="7"/>
  <c r="J14" i="13" s="1"/>
  <c r="K63" i="9"/>
  <c r="M29" i="14" s="1"/>
  <c r="M34" i="14" s="1"/>
  <c r="J21" i="2"/>
  <c r="J23" i="2" s="1"/>
  <c r="M14" i="10"/>
  <c r="M17" i="10" s="1"/>
  <c r="M19" i="10" s="1"/>
  <c r="J31" i="15"/>
  <c r="J30" i="15" s="1"/>
  <c r="J33" i="15" s="1"/>
  <c r="L12" i="9" l="1"/>
  <c r="K61" i="9"/>
  <c r="J42" i="13" s="1"/>
  <c r="J22" i="2"/>
  <c r="K14" i="13" l="1"/>
  <c r="L14" i="13"/>
  <c r="M14" i="13"/>
  <c r="N14" i="13"/>
  <c r="J15" i="13"/>
  <c r="K15" i="13"/>
  <c r="L15" i="13"/>
  <c r="M15" i="13"/>
  <c r="N15" i="13"/>
  <c r="J19" i="13"/>
  <c r="K19" i="13"/>
  <c r="L19" i="13"/>
  <c r="M19" i="13"/>
  <c r="N19" i="13"/>
  <c r="J26" i="13"/>
  <c r="K26" i="13"/>
  <c r="L26" i="13"/>
  <c r="M26" i="13"/>
  <c r="N26" i="13"/>
  <c r="J27" i="13"/>
  <c r="K27" i="13"/>
  <c r="L27" i="13"/>
  <c r="M27" i="13"/>
  <c r="N27" i="13"/>
  <c r="J29" i="13"/>
  <c r="K29" i="13"/>
  <c r="L29" i="13"/>
  <c r="M29" i="13"/>
  <c r="N29" i="13"/>
  <c r="K35" i="13"/>
  <c r="L35" i="13"/>
  <c r="M35" i="13"/>
  <c r="N35" i="13"/>
  <c r="K36" i="13"/>
  <c r="L36" i="13"/>
  <c r="M36" i="13"/>
  <c r="N36" i="13"/>
  <c r="K38" i="13"/>
  <c r="L38" i="13"/>
  <c r="M38" i="13"/>
  <c r="N38" i="13"/>
  <c r="K42" i="13"/>
  <c r="L42" i="13"/>
  <c r="M42" i="13"/>
  <c r="N42" i="13"/>
  <c r="J45" i="13"/>
  <c r="K45" i="13"/>
  <c r="L45" i="13"/>
  <c r="M45" i="13"/>
  <c r="N45" i="13"/>
  <c r="J46" i="13"/>
  <c r="K46" i="13"/>
  <c r="L46" i="13"/>
  <c r="M46" i="13"/>
  <c r="N46" i="13"/>
  <c r="J56" i="13"/>
  <c r="K56" i="13"/>
  <c r="L56" i="13"/>
  <c r="M56" i="13"/>
  <c r="N56" i="13"/>
  <c r="J58" i="13"/>
  <c r="K58" i="13"/>
  <c r="L58" i="13"/>
  <c r="M58" i="13"/>
  <c r="N58" i="13"/>
  <c r="J60" i="13"/>
  <c r="K60" i="13"/>
  <c r="L60" i="13"/>
  <c r="M60" i="13"/>
  <c r="N60" i="13"/>
  <c r="N15" i="14"/>
  <c r="O15" i="14"/>
  <c r="P15" i="14"/>
  <c r="Q15" i="14"/>
  <c r="N16" i="14"/>
  <c r="O16" i="14"/>
  <c r="P16" i="14"/>
  <c r="Q16" i="14"/>
  <c r="N18" i="14"/>
  <c r="O18" i="14"/>
  <c r="P18" i="14"/>
  <c r="Q18" i="14"/>
  <c r="M19" i="14"/>
  <c r="N19" i="14"/>
  <c r="O19" i="14"/>
  <c r="P19" i="14"/>
  <c r="Q19" i="14"/>
  <c r="M20" i="14"/>
  <c r="N20" i="14"/>
  <c r="O20" i="14"/>
  <c r="P20" i="14"/>
  <c r="Q20" i="14"/>
  <c r="N29" i="14"/>
  <c r="O29" i="14"/>
  <c r="P29" i="14"/>
  <c r="Q29" i="14"/>
  <c r="N32" i="14"/>
  <c r="O32" i="14"/>
  <c r="P32" i="14"/>
  <c r="Q32" i="14"/>
  <c r="N34" i="14"/>
  <c r="O34" i="14"/>
  <c r="P34" i="14"/>
  <c r="Q34" i="14"/>
  <c r="M38" i="14"/>
  <c r="N38" i="14"/>
  <c r="O38" i="14"/>
  <c r="P38" i="14"/>
  <c r="Q38" i="14"/>
  <c r="N14" i="10"/>
  <c r="O14" i="10"/>
  <c r="P14" i="10"/>
  <c r="Q14" i="10"/>
  <c r="N17" i="10"/>
  <c r="O17" i="10"/>
  <c r="P17" i="10"/>
  <c r="Q17" i="10"/>
  <c r="N19" i="10"/>
  <c r="O19" i="10"/>
  <c r="P19" i="10"/>
  <c r="Q19" i="10"/>
  <c r="R19" i="10"/>
  <c r="K30" i="10"/>
  <c r="K31" i="10"/>
  <c r="E34" i="10"/>
  <c r="K35" i="10"/>
  <c r="E36" i="10"/>
  <c r="K36" i="10"/>
  <c r="E37" i="10"/>
  <c r="K37" i="10"/>
  <c r="E38" i="10"/>
  <c r="K38" i="10"/>
  <c r="E40" i="10"/>
  <c r="K40" i="10"/>
  <c r="E44" i="10"/>
  <c r="K44" i="10"/>
  <c r="E47" i="10"/>
  <c r="L9" i="9"/>
  <c r="M9" i="9"/>
  <c r="N9" i="9"/>
  <c r="O9" i="9"/>
  <c r="M12" i="9"/>
  <c r="N12" i="9"/>
  <c r="O12" i="9"/>
  <c r="L16" i="9"/>
  <c r="M16" i="9"/>
  <c r="N16" i="9"/>
  <c r="O16" i="9"/>
  <c r="L17" i="9"/>
  <c r="M17" i="9"/>
  <c r="N17" i="9"/>
  <c r="O17" i="9"/>
  <c r="L20" i="9"/>
  <c r="M20" i="9"/>
  <c r="N20" i="9"/>
  <c r="O20" i="9"/>
  <c r="L21" i="9"/>
  <c r="M21" i="9"/>
  <c r="N21" i="9"/>
  <c r="O21" i="9"/>
  <c r="L24" i="9"/>
  <c r="M24" i="9"/>
  <c r="N24" i="9"/>
  <c r="O24" i="9"/>
  <c r="L25" i="9"/>
  <c r="M25" i="9"/>
  <c r="N25" i="9"/>
  <c r="O25" i="9"/>
  <c r="L37" i="9"/>
  <c r="M37" i="9"/>
  <c r="N37" i="9"/>
  <c r="O37" i="9"/>
  <c r="L42" i="9"/>
  <c r="M42" i="9"/>
  <c r="N42" i="9"/>
  <c r="O42" i="9"/>
  <c r="L44" i="9"/>
  <c r="M44" i="9"/>
  <c r="N44" i="9"/>
  <c r="O44" i="9"/>
  <c r="L47" i="9"/>
  <c r="M47" i="9"/>
  <c r="N47" i="9"/>
  <c r="O47" i="9"/>
  <c r="L51" i="9"/>
  <c r="M51" i="9"/>
  <c r="N51" i="9"/>
  <c r="O51" i="9"/>
  <c r="K53" i="9"/>
  <c r="L53" i="9"/>
  <c r="M53" i="9"/>
  <c r="N53" i="9"/>
  <c r="O53" i="9"/>
  <c r="L55" i="9"/>
  <c r="M55" i="9"/>
  <c r="N55" i="9"/>
  <c r="O55" i="9"/>
  <c r="L59" i="9"/>
  <c r="M59" i="9"/>
  <c r="N59" i="9"/>
  <c r="O59" i="9"/>
  <c r="L61" i="9"/>
  <c r="M61" i="9"/>
  <c r="N61" i="9"/>
  <c r="O61" i="9"/>
  <c r="L63" i="9"/>
  <c r="M63" i="9"/>
  <c r="N63" i="9"/>
  <c r="O63" i="9"/>
  <c r="L88" i="9"/>
  <c r="M88" i="9"/>
  <c r="N88" i="9"/>
  <c r="O88" i="9"/>
  <c r="L103" i="9"/>
  <c r="M103" i="9"/>
  <c r="N103" i="9"/>
  <c r="O103" i="9"/>
  <c r="L104" i="9"/>
  <c r="M104" i="9"/>
  <c r="N104" i="9"/>
  <c r="O104" i="9"/>
  <c r="K111" i="9"/>
  <c r="L111" i="9"/>
  <c r="M111" i="9"/>
  <c r="N111" i="9"/>
  <c r="O111" i="9"/>
  <c r="K112" i="9"/>
  <c r="L112" i="9"/>
  <c r="M112" i="9"/>
  <c r="N112" i="9"/>
  <c r="O112" i="9"/>
  <c r="K116" i="9"/>
  <c r="L116" i="9"/>
  <c r="M116" i="9"/>
  <c r="N116" i="9"/>
  <c r="O116" i="9"/>
  <c r="L127" i="9"/>
  <c r="M127" i="9"/>
  <c r="N127" i="9"/>
  <c r="O127" i="9"/>
  <c r="L128" i="9"/>
  <c r="M128" i="9"/>
  <c r="N128" i="9"/>
  <c r="O128" i="9"/>
  <c r="K129" i="9"/>
  <c r="L129" i="9"/>
  <c r="M129" i="9"/>
  <c r="N129" i="9"/>
  <c r="O129" i="9"/>
  <c r="K130" i="9"/>
  <c r="L130" i="9"/>
  <c r="M130" i="9"/>
  <c r="N130" i="9"/>
  <c r="O130" i="9"/>
  <c r="L147" i="9"/>
  <c r="M147" i="9"/>
  <c r="N147" i="9"/>
  <c r="O147" i="9"/>
  <c r="K148" i="9"/>
  <c r="L148" i="9"/>
  <c r="M148" i="9"/>
  <c r="N148" i="9"/>
  <c r="O148" i="9"/>
  <c r="M151" i="9"/>
  <c r="N151" i="9"/>
  <c r="O151" i="9"/>
  <c r="K152" i="9"/>
  <c r="L152" i="9"/>
  <c r="M152" i="9"/>
  <c r="N152" i="9"/>
  <c r="O152" i="9"/>
  <c r="K154" i="9"/>
  <c r="L154" i="9"/>
  <c r="M154" i="9"/>
  <c r="N154" i="9"/>
  <c r="O154" i="9"/>
  <c r="N20" i="7"/>
  <c r="O20" i="7"/>
  <c r="P20" i="7"/>
  <c r="Q20" i="7"/>
  <c r="M21" i="7"/>
  <c r="N21" i="7"/>
  <c r="O21" i="7"/>
  <c r="P21" i="7"/>
  <c r="Q21" i="7"/>
  <c r="M24" i="7"/>
  <c r="N24" i="7"/>
  <c r="O24" i="7"/>
  <c r="P24" i="7"/>
  <c r="Q24" i="7"/>
  <c r="M25" i="7"/>
  <c r="N25" i="7"/>
  <c r="O25" i="7"/>
  <c r="P25" i="7"/>
  <c r="Q25" i="7"/>
  <c r="O28" i="7"/>
  <c r="P28" i="7"/>
  <c r="Q28" i="7"/>
  <c r="N31" i="7"/>
  <c r="O31" i="7"/>
  <c r="P31" i="7"/>
  <c r="Q31" i="7"/>
  <c r="N34" i="7"/>
  <c r="O34" i="7"/>
  <c r="P34" i="7"/>
  <c r="Q34" i="7"/>
  <c r="N41" i="7"/>
  <c r="O41" i="7"/>
  <c r="P41" i="7"/>
  <c r="Q41" i="7"/>
  <c r="O44" i="7"/>
  <c r="P44" i="7"/>
  <c r="Q44" i="7"/>
  <c r="N47" i="7"/>
  <c r="O47" i="7"/>
  <c r="P47" i="7"/>
  <c r="Q47" i="7"/>
  <c r="N49" i="7"/>
  <c r="O49" i="7"/>
  <c r="P49" i="7"/>
  <c r="Q49" i="7"/>
  <c r="M51" i="7"/>
  <c r="N51" i="7"/>
  <c r="O51" i="7"/>
  <c r="P51" i="7"/>
  <c r="Q51" i="7"/>
  <c r="M53" i="7"/>
  <c r="N53" i="7"/>
  <c r="O53" i="7"/>
  <c r="P53" i="7"/>
  <c r="Q53" i="7"/>
  <c r="M68" i="7"/>
  <c r="N68" i="7"/>
  <c r="O68" i="7"/>
  <c r="P68" i="7"/>
  <c r="Q68" i="7"/>
  <c r="N74" i="7"/>
  <c r="O74" i="7"/>
  <c r="P74" i="7"/>
  <c r="Q74" i="7"/>
  <c r="N84" i="7"/>
  <c r="O84" i="7"/>
  <c r="P84" i="7"/>
  <c r="Q84" i="7"/>
  <c r="N87" i="7"/>
  <c r="O87" i="7"/>
  <c r="P87" i="7"/>
  <c r="Q87" i="7"/>
  <c r="N89" i="7"/>
  <c r="O89" i="7"/>
  <c r="P89" i="7"/>
  <c r="Q89" i="7"/>
  <c r="N90" i="7"/>
  <c r="O90" i="7"/>
  <c r="P90" i="7"/>
  <c r="Q90" i="7"/>
  <c r="M91" i="7"/>
  <c r="N91" i="7"/>
  <c r="O91" i="7"/>
  <c r="P91" i="7"/>
  <c r="Q91" i="7"/>
  <c r="M92" i="7"/>
  <c r="N92" i="7"/>
  <c r="O92" i="7"/>
  <c r="P92" i="7"/>
  <c r="Q92" i="7"/>
  <c r="M94" i="7"/>
  <c r="N94" i="7"/>
  <c r="O94" i="7"/>
  <c r="P94" i="7"/>
  <c r="Q94" i="7"/>
  <c r="J7" i="6"/>
  <c r="J9" i="6"/>
  <c r="J14" i="6"/>
  <c r="J16" i="6"/>
  <c r="C13" i="1"/>
  <c r="C15" i="1"/>
  <c r="K16" i="2"/>
  <c r="L16" i="2"/>
  <c r="M16" i="2"/>
  <c r="N16" i="2"/>
  <c r="K17" i="2"/>
  <c r="L17" i="2"/>
  <c r="M17" i="2"/>
  <c r="N17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19" i="15"/>
  <c r="L19" i="15"/>
  <c r="M19" i="15"/>
  <c r="N19" i="15"/>
  <c r="K20" i="15"/>
  <c r="L20" i="15"/>
  <c r="M20" i="15"/>
  <c r="N20" i="15"/>
  <c r="K22" i="15"/>
  <c r="L22" i="15"/>
  <c r="M22" i="15"/>
  <c r="N22" i="15"/>
  <c r="K23" i="15"/>
  <c r="L23" i="15"/>
  <c r="M23" i="15"/>
  <c r="N23" i="15"/>
  <c r="K24" i="15"/>
  <c r="L24" i="15"/>
  <c r="M24" i="15"/>
  <c r="N24" i="15"/>
  <c r="K25" i="15"/>
  <c r="L25" i="15"/>
  <c r="M25" i="15"/>
  <c r="N25" i="15"/>
  <c r="K27" i="15"/>
  <c r="L27" i="15"/>
  <c r="M27" i="15"/>
  <c r="N27" i="15"/>
  <c r="K30" i="15"/>
  <c r="L30" i="15"/>
  <c r="M30" i="15"/>
  <c r="N30" i="15"/>
  <c r="K31" i="15"/>
  <c r="L31" i="15"/>
  <c r="M31" i="15"/>
  <c r="N31" i="15"/>
  <c r="K33" i="15"/>
  <c r="L33" i="15"/>
  <c r="M33" i="15"/>
  <c r="N33" i="15"/>
  <c r="J36" i="15"/>
  <c r="K36" i="15"/>
  <c r="L36" i="15"/>
  <c r="M36" i="15"/>
  <c r="N36" i="15"/>
  <c r="J37" i="15"/>
  <c r="K37" i="15"/>
  <c r="L37" i="15"/>
  <c r="M37" i="15"/>
  <c r="N37" i="15"/>
  <c r="M119" i="8"/>
  <c r="N119" i="8"/>
  <c r="O119" i="8"/>
  <c r="P119" i="8"/>
  <c r="Q119" i="8"/>
  <c r="N120" i="8"/>
  <c r="O120" i="8"/>
  <c r="P120" i="8"/>
  <c r="Q120" i="8"/>
  <c r="M123" i="8"/>
  <c r="N123" i="8"/>
  <c r="O123" i="8"/>
  <c r="P123" i="8"/>
  <c r="Q123" i="8"/>
  <c r="M124" i="8"/>
  <c r="N124" i="8"/>
  <c r="O124" i="8"/>
  <c r="P124" i="8"/>
  <c r="Q12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<sst xmlns="http://schemas.openxmlformats.org/spreadsheetml/2006/main" count="1257" uniqueCount="847">
  <si>
    <t>Company related inputs</t>
  </si>
  <si>
    <t xml:space="preserve">Company Name </t>
  </si>
  <si>
    <t>Company short Name</t>
  </si>
  <si>
    <t>Latest financial year end</t>
  </si>
  <si>
    <t>Currency</t>
  </si>
  <si>
    <t>Units</t>
  </si>
  <si>
    <t>millions</t>
  </si>
  <si>
    <t>Hensoldt AG</t>
  </si>
  <si>
    <t>Euro</t>
  </si>
  <si>
    <t>Financial year end</t>
  </si>
  <si>
    <t>Time-line counter</t>
  </si>
  <si>
    <t>Currency and units</t>
  </si>
  <si>
    <t>Time-Stamp</t>
  </si>
  <si>
    <t>Reported Income Statement</t>
  </si>
  <si>
    <t>Revenue</t>
  </si>
  <si>
    <t>Cost of sales</t>
  </si>
  <si>
    <t>Gross profit</t>
  </si>
  <si>
    <t>Selling and distribution expenses</t>
  </si>
  <si>
    <t>General administrative expenses</t>
  </si>
  <si>
    <t>Research and development costs</t>
  </si>
  <si>
    <t>Other operating income</t>
  </si>
  <si>
    <t>Other operating expenses</t>
  </si>
  <si>
    <t>Interest income</t>
  </si>
  <si>
    <t>Interest expense</t>
  </si>
  <si>
    <t>Finance result</t>
  </si>
  <si>
    <t>Income taxes</t>
  </si>
  <si>
    <t>Earnings before income taxes (EBT)</t>
  </si>
  <si>
    <t>thereof attributable to non-controlling interests</t>
  </si>
  <si>
    <t>Earnings per share</t>
  </si>
  <si>
    <t>Basic and diluted earnings per share (EUR)</t>
  </si>
  <si>
    <t>Share of profit / loss from investments accounted for using the equity method</t>
  </si>
  <si>
    <t>Other income / expense from investments</t>
  </si>
  <si>
    <t>Earnings before financial result and income taxes (EBIT)</t>
  </si>
  <si>
    <t>thereof attributable to the owners of HENSOLDT AG</t>
  </si>
  <si>
    <t>Other finance income / cost</t>
  </si>
  <si>
    <t>Group profit / loss</t>
  </si>
  <si>
    <t>2024-2019</t>
  </si>
  <si>
    <t xml:space="preserve">Hensoldt AG Equity Research Report </t>
  </si>
  <si>
    <t xml:space="preserve">Non-current Assets </t>
  </si>
  <si>
    <t>Goodwill</t>
  </si>
  <si>
    <t>Intangible assets</t>
  </si>
  <si>
    <t>PPE</t>
  </si>
  <si>
    <t>Right of Use assets</t>
  </si>
  <si>
    <t>Investments accounted for using equity method</t>
  </si>
  <si>
    <t>Other investments and non-current other financial investments</t>
  </si>
  <si>
    <t>Non-current other financial assets</t>
  </si>
  <si>
    <t>Non-current other financial investments</t>
  </si>
  <si>
    <t>inventories</t>
  </si>
  <si>
    <t>contract assets</t>
  </si>
  <si>
    <t>trade recievables</t>
  </si>
  <si>
    <t>other current financial assets</t>
  </si>
  <si>
    <t>Current other assets</t>
  </si>
  <si>
    <t>income tax recievables</t>
  </si>
  <si>
    <t xml:space="preserve">Cash and Cash Equivalents </t>
  </si>
  <si>
    <t xml:space="preserve">Total Assets </t>
  </si>
  <si>
    <t>Share Capital</t>
  </si>
  <si>
    <t>other reserve</t>
  </si>
  <si>
    <t>Capital reserve</t>
  </si>
  <si>
    <t>retained earnings</t>
  </si>
  <si>
    <t>Equity held by shareholders of Hensoldt AG</t>
  </si>
  <si>
    <t>Non-Controlling interests</t>
  </si>
  <si>
    <t>Equity</t>
  </si>
  <si>
    <t>Non-current liabilities</t>
  </si>
  <si>
    <t>non-current provisions</t>
  </si>
  <si>
    <t>non-current financing liabilities</t>
  </si>
  <si>
    <t>non-current contract liabilities</t>
  </si>
  <si>
    <t>non-current lease liabilities</t>
  </si>
  <si>
    <t>non-current other financial liabilities</t>
  </si>
  <si>
    <t>non-current other liabilities</t>
  </si>
  <si>
    <t>deffered income</t>
  </si>
  <si>
    <t>deferred tax liabilities</t>
  </si>
  <si>
    <t>current provisions</t>
  </si>
  <si>
    <t>current financing liabilities</t>
  </si>
  <si>
    <t>current contract liabilities</t>
  </si>
  <si>
    <t>current lease liabilities</t>
  </si>
  <si>
    <t>trade payables</t>
  </si>
  <si>
    <t>current other financial liabilites</t>
  </si>
  <si>
    <t>current other liabilities</t>
  </si>
  <si>
    <t>tax liabilities</t>
  </si>
  <si>
    <t>Deferred tax assets</t>
  </si>
  <si>
    <t>Non-current other assets</t>
  </si>
  <si>
    <t>Current assets</t>
  </si>
  <si>
    <t>Current liabilities</t>
  </si>
  <si>
    <t xml:space="preserve">Total equity and liabilities </t>
  </si>
  <si>
    <t>Equities and Liabilities</t>
  </si>
  <si>
    <t>Assets</t>
  </si>
  <si>
    <t xml:space="preserve">Reported balance Sheet </t>
  </si>
  <si>
    <t xml:space="preserve">Standardised Balance sheet </t>
  </si>
  <si>
    <t>Standardised Income Statement</t>
  </si>
  <si>
    <t>Reported Cash Flow Statement</t>
  </si>
  <si>
    <t>Standardised Cash Flow Statement</t>
  </si>
  <si>
    <t>Change in</t>
  </si>
  <si>
    <t xml:space="preserve">Group profit / loss </t>
  </si>
  <si>
    <t xml:space="preserve">Depreciation, amortisation and impairments of non-current assets </t>
  </si>
  <si>
    <t xml:space="preserve">Impairments (+) / reversals of impairments (-) of inventories, trade receivables and contract assets </t>
  </si>
  <si>
    <t xml:space="preserve">Profit / loss from disposals of non-current assets </t>
  </si>
  <si>
    <t xml:space="preserve">Share of profits in investments accounted for using the equity method </t>
  </si>
  <si>
    <t xml:space="preserve">Financial expenses (net) </t>
  </si>
  <si>
    <t xml:space="preserve">Other non-cash expense / income </t>
  </si>
  <si>
    <t xml:space="preserve">Provisions </t>
  </si>
  <si>
    <t xml:space="preserve">Inventories </t>
  </si>
  <si>
    <t xml:space="preserve">Contract balances </t>
  </si>
  <si>
    <t xml:space="preserve">Trade receivables </t>
  </si>
  <si>
    <t xml:space="preserve">Trade payables </t>
  </si>
  <si>
    <t>Other assets and liabilities</t>
  </si>
  <si>
    <t xml:space="preserve">Interest paid </t>
  </si>
  <si>
    <t xml:space="preserve">Interest received </t>
  </si>
  <si>
    <t xml:space="preserve">Income tax expense (+) / income (-) </t>
  </si>
  <si>
    <t xml:space="preserve">Income tax payments (-) / refunds (+) </t>
  </si>
  <si>
    <t xml:space="preserve">Cash flows from operating activities </t>
  </si>
  <si>
    <t xml:space="preserve">Acquisition / addition of intangible assets and property, plant and equipment </t>
  </si>
  <si>
    <t xml:space="preserve">Proceeds from sale of intangible assets and property, plant and equipment </t>
  </si>
  <si>
    <t xml:space="preserve">Payments for investments in non-consolidated affiliates, joint ventures, associates, other investments and other non-current financial assets </t>
  </si>
  <si>
    <t>Proceeds from disposals of non-consolidated affiliates, joint ventures, associates, other investments and non-current financial assets</t>
  </si>
  <si>
    <t xml:space="preserve">Acquisition of subsidiaries net of cash acquired </t>
  </si>
  <si>
    <t xml:space="preserve">Other </t>
  </si>
  <si>
    <t xml:space="preserve">Cash flows from investing activities </t>
  </si>
  <si>
    <t>Cash and cash equivalents</t>
  </si>
  <si>
    <t xml:space="preserve">Proceeds from financing liabilities to banks </t>
  </si>
  <si>
    <t xml:space="preserve">Transaction costs paid on loans and borrowings </t>
  </si>
  <si>
    <t xml:space="preserve">Change in other financing liabilities </t>
  </si>
  <si>
    <t xml:space="preserve">Payment of lease liabilities </t>
  </si>
  <si>
    <t xml:space="preserve">Dividend payments </t>
  </si>
  <si>
    <t xml:space="preserve">Dividends on non-controlling interests </t>
  </si>
  <si>
    <t xml:space="preserve">Issue of shares </t>
  </si>
  <si>
    <t xml:space="preserve">Transaction costs paid on issue of equity </t>
  </si>
  <si>
    <t xml:space="preserve">Cash flows from financing activities </t>
  </si>
  <si>
    <t xml:space="preserve">Effects of changes in exchange rates on cash and cash equivalents </t>
  </si>
  <si>
    <t xml:space="preserve">Net changes in cash and cash equivalents </t>
  </si>
  <si>
    <t xml:space="preserve">Cash and cash equivalents on 1 January </t>
  </si>
  <si>
    <t xml:space="preserve">Cash and cash equivalents on 31 December </t>
  </si>
  <si>
    <t>HAG</t>
  </si>
  <si>
    <t>Other current assets</t>
  </si>
  <si>
    <t>Other current liabilities</t>
  </si>
  <si>
    <t>Revenue Model</t>
  </si>
  <si>
    <t xml:space="preserve">Pessimistic Sceanrio </t>
  </si>
  <si>
    <t xml:space="preserve">Realistic Scenario </t>
  </si>
  <si>
    <t>Optimistic Scenario</t>
  </si>
  <si>
    <t xml:space="preserve">Company own Projection </t>
  </si>
  <si>
    <t xml:space="preserve">Expense Model </t>
  </si>
  <si>
    <t>x</t>
  </si>
  <si>
    <t>Peer Group</t>
  </si>
  <si>
    <t xml:space="preserve">BAE Systems </t>
  </si>
  <si>
    <t>Chemring Group PLC</t>
  </si>
  <si>
    <t xml:space="preserve">Elbit Systems </t>
  </si>
  <si>
    <t>General Dynamics</t>
  </si>
  <si>
    <t xml:space="preserve">Indra Sistemas S.A. </t>
  </si>
  <si>
    <t xml:space="preserve">Kongsberg Gruppen </t>
  </si>
  <si>
    <t xml:space="preserve">Leonardo </t>
  </si>
  <si>
    <t xml:space="preserve">Lockheer Martin </t>
  </si>
  <si>
    <t xml:space="preserve">MTU Aero Engines </t>
  </si>
  <si>
    <t xml:space="preserve">Rheinmetall </t>
  </si>
  <si>
    <t xml:space="preserve">Thales </t>
  </si>
  <si>
    <t>EV/Sales</t>
  </si>
  <si>
    <t>EV/EBITDA</t>
  </si>
  <si>
    <t>P/E</t>
  </si>
  <si>
    <t>2026E</t>
  </si>
  <si>
    <t xml:space="preserve">Revenue </t>
  </si>
  <si>
    <t xml:space="preserve">Cost of Sales </t>
  </si>
  <si>
    <t>Gross Profit</t>
  </si>
  <si>
    <t xml:space="preserve">Operating R&amp;D </t>
  </si>
  <si>
    <t xml:space="preserve">Selling, General &amp; Admin </t>
  </si>
  <si>
    <t>EBITDA</t>
  </si>
  <si>
    <t xml:space="preserve">Depreciation &amp; Amortisation </t>
  </si>
  <si>
    <t xml:space="preserve">EBIT </t>
  </si>
  <si>
    <t xml:space="preserve">Other Non Operating Income/Expense (net) </t>
  </si>
  <si>
    <t>Net intrest income/loss</t>
  </si>
  <si>
    <t xml:space="preserve">EBT </t>
  </si>
  <si>
    <t>Income Taxes</t>
  </si>
  <si>
    <t xml:space="preserve">Net Income </t>
  </si>
  <si>
    <t xml:space="preserve">Actual Revenue Forecast </t>
  </si>
  <si>
    <t xml:space="preserve">Beginnign Backlog </t>
  </si>
  <si>
    <t xml:space="preserve">Revenue Growth Rate </t>
  </si>
  <si>
    <t xml:space="preserve">Conversion Calculation </t>
  </si>
  <si>
    <t>Total Order Backlog</t>
  </si>
  <si>
    <t>Annual Sales</t>
  </si>
  <si>
    <t>Conversion Rate</t>
  </si>
  <si>
    <t>Backlog Conversion rate</t>
  </si>
  <si>
    <t>Book to Bill Ratio</t>
  </si>
  <si>
    <t xml:space="preserve">New Order Intake </t>
  </si>
  <si>
    <t>Backlog Conversion Rate</t>
  </si>
  <si>
    <t xml:space="preserve">Book to Bill Ratio </t>
  </si>
  <si>
    <t xml:space="preserve">Backlog Conversion Rate </t>
  </si>
  <si>
    <t>Total Revenue Forecast</t>
  </si>
  <si>
    <t xml:space="preserve">Ending Backlog </t>
  </si>
  <si>
    <t xml:space="preserve">as a % of Revenue </t>
  </si>
  <si>
    <t>SG&amp;A</t>
  </si>
  <si>
    <t xml:space="preserve">R&amp;D </t>
  </si>
  <si>
    <t>Other Income/Expense</t>
  </si>
  <si>
    <t>Necessary Forecast Revenue</t>
  </si>
  <si>
    <t xml:space="preserve">Necessary Forecasts Expenses </t>
  </si>
  <si>
    <t xml:space="preserve">Cost of Sales % </t>
  </si>
  <si>
    <t>R&amp;D</t>
  </si>
  <si>
    <t>Margin Calculations</t>
  </si>
  <si>
    <t>Cost of Sales</t>
  </si>
  <si>
    <t xml:space="preserve">Operating Margin </t>
  </si>
  <si>
    <t>G&amp;A</t>
  </si>
  <si>
    <t>S&amp;D</t>
  </si>
  <si>
    <t xml:space="preserve">Actual Expense Forecast </t>
  </si>
  <si>
    <t>Other Operating Income/Expense</t>
  </si>
  <si>
    <t>% used</t>
  </si>
  <si>
    <t>R&amp;D (€)</t>
  </si>
  <si>
    <t>SG&amp;A (€)</t>
  </si>
  <si>
    <t>Cost of Sales (€)</t>
  </si>
  <si>
    <t>Total Expense Forecast</t>
  </si>
  <si>
    <t>Sanity Check</t>
  </si>
  <si>
    <t xml:space="preserve">Colour Code </t>
  </si>
  <si>
    <t xml:space="preserve">Green: Links to another sheet </t>
  </si>
  <si>
    <t>Purple: Links to same sheet</t>
  </si>
  <si>
    <t>Black: Calculations</t>
  </si>
  <si>
    <t xml:space="preserve">Red: Discretionary Inputs </t>
  </si>
  <si>
    <t>Blue: hard-coded Inputs</t>
  </si>
  <si>
    <t>Beginning Gross PPE</t>
  </si>
  <si>
    <t>(+) CapEX</t>
  </si>
  <si>
    <t xml:space="preserve">(-) Disposals </t>
  </si>
  <si>
    <t xml:space="preserve">Ending Gross PPE </t>
  </si>
  <si>
    <t>Beginning Accumulating Depreciation</t>
  </si>
  <si>
    <t xml:space="preserve">(+) D&amp;A Expense for PPE </t>
  </si>
  <si>
    <t xml:space="preserve">(-) Accum Dep. On Disposals </t>
  </si>
  <si>
    <t>Ending Acc. Depreciation</t>
  </si>
  <si>
    <t xml:space="preserve">Net PPE </t>
  </si>
  <si>
    <t>Depreciation (PPE)</t>
  </si>
  <si>
    <t>Beginning Net intangibles</t>
  </si>
  <si>
    <t xml:space="preserve">(-) Amortisation Expenses </t>
  </si>
  <si>
    <t>(-) Disposals/Impairments</t>
  </si>
  <si>
    <t>Ending Net Intangibles</t>
  </si>
  <si>
    <t xml:space="preserve">Goodwill </t>
  </si>
  <si>
    <t xml:space="preserve">Right-of-Use Assets </t>
  </si>
  <si>
    <t>Beginning Net ROU Assets</t>
  </si>
  <si>
    <t xml:space="preserve">(+) Addition (new Leases) </t>
  </si>
  <si>
    <t xml:space="preserve">(-) D&amp;A Expenses (ROU) </t>
  </si>
  <si>
    <t xml:space="preserve">Ending Net ROU Assets </t>
  </si>
  <si>
    <t>Total Net fixed Assets</t>
  </si>
  <si>
    <t xml:space="preserve">CAPEX </t>
  </si>
  <si>
    <t>% of Revenue</t>
  </si>
  <si>
    <t xml:space="preserve">D&amp;A </t>
  </si>
  <si>
    <t xml:space="preserve">Disposals </t>
  </si>
  <si>
    <t xml:space="preserve">Capex Distribution </t>
  </si>
  <si>
    <t>Intangibles</t>
  </si>
  <si>
    <t>ROU</t>
  </si>
  <si>
    <t>D&amp;A Distribution</t>
  </si>
  <si>
    <t xml:space="preserve">as a % of Beginning Gross Assets </t>
  </si>
  <si>
    <t xml:space="preserve">(+) Capex (capitalised R&amp;D) </t>
  </si>
  <si>
    <t>Forecasted Revenue</t>
  </si>
  <si>
    <t xml:space="preserve">Intangible Assets </t>
  </si>
  <si>
    <t xml:space="preserve">Value </t>
  </si>
  <si>
    <t>Value</t>
  </si>
  <si>
    <t>Disposal is fully depreciated, so held constant</t>
  </si>
  <si>
    <t>Sanity Check CAPEX</t>
  </si>
  <si>
    <t>Sanity Check D&amp;A</t>
  </si>
  <si>
    <t xml:space="preserve">Intangibles + Goodwill </t>
  </si>
  <si>
    <t xml:space="preserve">(+50 other noncurrent) </t>
  </si>
  <si>
    <t>Payables</t>
  </si>
  <si>
    <t>Operating Costs</t>
  </si>
  <si>
    <t xml:space="preserve">Inventory Levels </t>
  </si>
  <si>
    <t xml:space="preserve">Inventory Days outstanding </t>
  </si>
  <si>
    <t>Inventories (DOI)</t>
  </si>
  <si>
    <t>Recievables (DSO)</t>
  </si>
  <si>
    <t>Payables (DPO)</t>
  </si>
  <si>
    <t>Pessimistic</t>
  </si>
  <si>
    <t>Account Recievables</t>
  </si>
  <si>
    <t xml:space="preserve">Days Sales Ountstanding </t>
  </si>
  <si>
    <t>Scenario</t>
  </si>
  <si>
    <t>Accounts Payable</t>
  </si>
  <si>
    <t xml:space="preserve">Important Assumptions </t>
  </si>
  <si>
    <t>Days Payables Outstanding</t>
  </si>
  <si>
    <t xml:space="preserve">Chash Conversion Cycle </t>
  </si>
  <si>
    <t xml:space="preserve">Debt </t>
  </si>
  <si>
    <t>Dividends</t>
  </si>
  <si>
    <t>Intrest Expense</t>
  </si>
  <si>
    <t>Intrest Income</t>
  </si>
  <si>
    <t>Scenarios</t>
  </si>
  <si>
    <t xml:space="preserve">Cash </t>
  </si>
  <si>
    <t xml:space="preserve">Ending debt balance </t>
  </si>
  <si>
    <t xml:space="preserve">Net Income (attrib. to shareholder) </t>
  </si>
  <si>
    <t>Total Dividend payed</t>
  </si>
  <si>
    <t xml:space="preserve">Intrest rates development </t>
  </si>
  <si>
    <t xml:space="preserve">Version 2: </t>
  </si>
  <si>
    <t>Dividends:</t>
  </si>
  <si>
    <t>Dividend</t>
  </si>
  <si>
    <t>Debt</t>
  </si>
  <si>
    <t>V1: constant payout ratio of Net Income</t>
  </si>
  <si>
    <t xml:space="preserve">Constant </t>
  </si>
  <si>
    <t>Dividend Policy</t>
  </si>
  <si>
    <t>Debt Policy</t>
  </si>
  <si>
    <t xml:space="preserve">Intrest Income Scenario </t>
  </si>
  <si>
    <t xml:space="preserve">Income Tax Rate </t>
  </si>
  <si>
    <t xml:space="preserve">D&amp;A Total </t>
  </si>
  <si>
    <t xml:space="preserve">Dividend per Share </t>
  </si>
  <si>
    <t xml:space="preserve">Payout Ratio </t>
  </si>
  <si>
    <t xml:space="preserve">Net Intrest Income/Expense </t>
  </si>
  <si>
    <t xml:space="preserve">Target Levrage ratio </t>
  </si>
  <si>
    <t xml:space="preserve">Neutral </t>
  </si>
  <si>
    <t>Optimistic</t>
  </si>
  <si>
    <t xml:space="preserve">Amount of Shares is kept constant </t>
  </si>
  <si>
    <t xml:space="preserve">Version 1: Payout Dividend Forecast </t>
  </si>
  <si>
    <t xml:space="preserve">Constant Ratio </t>
  </si>
  <si>
    <t xml:space="preserve">Growing Ratio </t>
  </si>
  <si>
    <t xml:space="preserve">Reduction up to a minimum level </t>
  </si>
  <si>
    <t xml:space="preserve">Version </t>
  </si>
  <si>
    <t>EPS Dividend</t>
  </si>
  <si>
    <t>Payout Ratio Dividend</t>
  </si>
  <si>
    <t xml:space="preserve">Slow Growth </t>
  </si>
  <si>
    <t xml:space="preserve">High Growth </t>
  </si>
  <si>
    <t xml:space="preserve">Operating Cash </t>
  </si>
  <si>
    <t xml:space="preserve">Investing Cash </t>
  </si>
  <si>
    <t xml:space="preserve">Hensold Corporate Spead </t>
  </si>
  <si>
    <t xml:space="preserve">Assumptions &amp; Relevant Data Points </t>
  </si>
  <si>
    <t xml:space="preserve">Tax Rate as shown in Annual report is on average 28,3% in Germany, </t>
  </si>
  <si>
    <t xml:space="preserve">used here to forecast the income tax burden with deferred taxed being used in 2024 to reduce the tax burden </t>
  </si>
  <si>
    <t xml:space="preserve">No. of Shares </t>
  </si>
  <si>
    <t xml:space="preserve"> As of October 2025</t>
  </si>
  <si>
    <t xml:space="preserve">(Premium over risk free bonds, in this case German BUNDS) </t>
  </si>
  <si>
    <t>Total</t>
  </si>
  <si>
    <t>Intrest Expense Scenario</t>
  </si>
  <si>
    <t>Maint intrest rate</t>
  </si>
  <si>
    <t xml:space="preserve">Main Intrest Rate </t>
  </si>
  <si>
    <t>Company Dividend Policy: payout ratio between 30-40% of Net Income</t>
  </si>
  <si>
    <t>Scenarios model diffrent payout ratios</t>
  </si>
  <si>
    <t xml:space="preserve">V2: Constant Dividend Growth </t>
  </si>
  <si>
    <t>Scenarios model a cent per share growth pathway</t>
  </si>
  <si>
    <t>Current Rating B2</t>
  </si>
  <si>
    <t xml:space="preserve">(1: Constant, 2: Growing, 3: decreasing Ratio) </t>
  </si>
  <si>
    <t>Other Current Assets</t>
  </si>
  <si>
    <t xml:space="preserve">Other Current assets </t>
  </si>
  <si>
    <t>Other Non-Current Assets</t>
  </si>
  <si>
    <t>Other Current liabilities</t>
  </si>
  <si>
    <t xml:space="preserve">Other non-current liabilities </t>
  </si>
  <si>
    <t>Operating Cost</t>
  </si>
  <si>
    <t xml:space="preserve">Versions </t>
  </si>
  <si>
    <t xml:space="preserve">V1: Use last historical value as a constant due to new structure of Hensoldt after the ESG Aquisition </t>
  </si>
  <si>
    <t xml:space="preserve">V2: Average of last 3 Years </t>
  </si>
  <si>
    <t xml:space="preserve">Other current liabilities: </t>
  </si>
  <si>
    <t xml:space="preserve"> Include Liabilities for tax (Including income tax), social security/towards personell </t>
  </si>
  <si>
    <t xml:space="preserve">V1: Growing liabilities share (increased personell cost as forecast by management of 5% DE, 2,5% FR, 4% UK -&gt; Average 3,8% increase </t>
  </si>
  <si>
    <t xml:space="preserve">V2: reduced liablities (Synergies due to the ESG Aquisition) </t>
  </si>
  <si>
    <t xml:space="preserve">V3: Constant Liabilities share (growing with overall business) </t>
  </si>
  <si>
    <t xml:space="preserve">Other non-current liabilities: </t>
  </si>
  <si>
    <t xml:space="preserve">V1: </t>
  </si>
  <si>
    <t xml:space="preserve">V2: </t>
  </si>
  <si>
    <t xml:space="preserve">Share of OpEX in % </t>
  </si>
  <si>
    <t>V3</t>
  </si>
  <si>
    <t xml:space="preserve">(2,5% increased efficiency annually) </t>
  </si>
  <si>
    <t xml:space="preserve">Righ of Use Assets + 50 Miscallenious assets comprise the Other non-current assets category </t>
  </si>
  <si>
    <t>Revenue Conversion Rate</t>
  </si>
  <si>
    <t>Revenue Growth Rate</t>
  </si>
  <si>
    <t xml:space="preserve">Other Income </t>
  </si>
  <si>
    <t xml:space="preserve">Sanity Check </t>
  </si>
  <si>
    <t xml:space="preserve">Assumptions about Scenarios </t>
  </si>
  <si>
    <t xml:space="preserve">Other Non-Operating Income kept at 0 due to small impact/discretionary nature </t>
  </si>
  <si>
    <t xml:space="preserve">Revenue: </t>
  </si>
  <si>
    <t>Bookt to Bill Ratio</t>
  </si>
  <si>
    <t xml:space="preserve">Conversion Rate </t>
  </si>
  <si>
    <t xml:space="preserve">Total PPE + ROU </t>
  </si>
  <si>
    <t>Purchase of Intangibls</t>
  </si>
  <si>
    <t xml:space="preserve">Capex PPE + CAPEX ROU </t>
  </si>
  <si>
    <t>Capex</t>
  </si>
  <si>
    <t>D&amp;A</t>
  </si>
  <si>
    <t>Disposals</t>
  </si>
  <si>
    <t>Percentage Used</t>
  </si>
  <si>
    <t xml:space="preserve">Percentage used </t>
  </si>
  <si>
    <t>Inventories</t>
  </si>
  <si>
    <t>Contract liabilities</t>
  </si>
  <si>
    <t>as a % of Assets</t>
  </si>
  <si>
    <t>Non-Current Assets</t>
  </si>
  <si>
    <t>Goodwill &amp; Intangibles</t>
  </si>
  <si>
    <t>Property, Plant &amp; Equipment (incl. RoU)</t>
  </si>
  <si>
    <t>Investments &amp; Other Fin Assets (NC)</t>
  </si>
  <si>
    <t>Deferred Tax Assets</t>
  </si>
  <si>
    <t>Total Non-Current Assets</t>
  </si>
  <si>
    <t>Current Assets</t>
  </si>
  <si>
    <t>Trade Receivables</t>
  </si>
  <si>
    <t>Contract Assets</t>
  </si>
  <si>
    <t>Cash &amp; Cash Equivalents</t>
  </si>
  <si>
    <t>Total Current Assets</t>
  </si>
  <si>
    <t>Total Assets</t>
  </si>
  <si>
    <t>Equity &amp; Liab.</t>
  </si>
  <si>
    <t>Other Reserves (incl. Capital Reserve)</t>
  </si>
  <si>
    <t>Retained Earnings</t>
  </si>
  <si>
    <t>Equity Attributable to Shareholders</t>
  </si>
  <si>
    <t>Non-Controlling Interests</t>
  </si>
  <si>
    <t>Total Equity</t>
  </si>
  <si>
    <t>Liabilities</t>
  </si>
  <si>
    <t>Non-Current Liabilities</t>
  </si>
  <si>
    <t>Non-Current Debt (Financing &amp; Lease)</t>
  </si>
  <si>
    <t>Non-Current Provisions</t>
  </si>
  <si>
    <t>Other Non-Current Liabilities</t>
  </si>
  <si>
    <t>Deferred Tax Liabilities</t>
  </si>
  <si>
    <t>Total Non-Current Liabilities</t>
  </si>
  <si>
    <t>Current Liabilities</t>
  </si>
  <si>
    <t>Current Debt (Financing &amp; Lease)</t>
  </si>
  <si>
    <t>Trade Payables</t>
  </si>
  <si>
    <t>Current Contract Liabilities</t>
  </si>
  <si>
    <t>Current Provisions</t>
  </si>
  <si>
    <t>Other Current Liabilities</t>
  </si>
  <si>
    <t>Total Current Liabilities</t>
  </si>
  <si>
    <t>Total Liabilities</t>
  </si>
  <si>
    <t>Total Equity &amp; Liab.</t>
  </si>
  <si>
    <t>Operating Activities</t>
  </si>
  <si>
    <t>Group Profit / Loss (or Net Income)</t>
  </si>
  <si>
    <t>Adjustments for Non-Cash Items</t>
  </si>
  <si>
    <t>Change in Working Capital</t>
  </si>
  <si>
    <t>Interest Paid (Net of Received)</t>
  </si>
  <si>
    <t>Taxes Paid (Net of Refunds)</t>
  </si>
  <si>
    <t>Net Cash from Operating Activities</t>
  </si>
  <si>
    <t>Investing Activities</t>
  </si>
  <si>
    <t>Capital Expenditures (Net)</t>
  </si>
  <si>
    <t>Acquisitions &amp; Investments (Net)</t>
  </si>
  <si>
    <t>Other Investing Activities</t>
  </si>
  <si>
    <t>Net Cash from Investing Activities</t>
  </si>
  <si>
    <t>Financing Activities</t>
  </si>
  <si>
    <t>Net Change in Debt / Financing</t>
  </si>
  <si>
    <t>Net Change related to Equity</t>
  </si>
  <si>
    <t>Payment of Lease Liabilities</t>
  </si>
  <si>
    <t>Dividends Paid</t>
  </si>
  <si>
    <t>Other Financing Activities</t>
  </si>
  <si>
    <t>Net Cash from Financing Activities</t>
  </si>
  <si>
    <t>FX Effect &amp; Net Change</t>
  </si>
  <si>
    <t>Effect of Exchange Rates on Cash</t>
  </si>
  <si>
    <t>Net Change in Cash &amp; Equivalents</t>
  </si>
  <si>
    <t>Cash Balances</t>
  </si>
  <si>
    <t>Cash &amp; Equivalents (Beginning)</t>
  </si>
  <si>
    <t>Cash &amp; Equivalents (End)</t>
  </si>
  <si>
    <t>Top Line &amp; Gross Profit</t>
  </si>
  <si>
    <t>Cost of Sales (COGS)</t>
  </si>
  <si>
    <t>Other Operating Income/(Expense) Net</t>
  </si>
  <si>
    <t>EBIT</t>
  </si>
  <si>
    <t>EBT</t>
  </si>
  <si>
    <t>Net Income</t>
  </si>
  <si>
    <t>Attributable to Owners</t>
  </si>
  <si>
    <t>Attributable to NCI</t>
  </si>
  <si>
    <t>Per Share</t>
  </si>
  <si>
    <t>Earnings Per Share (EPS)</t>
  </si>
  <si>
    <t>Year</t>
  </si>
  <si>
    <t>Interest Expense</t>
  </si>
  <si>
    <t>Interest Income</t>
  </si>
  <si>
    <t>Other Fin Net</t>
  </si>
  <si>
    <t xml:space="preserve">Earnings Per Share (EPS) Number of Shares: </t>
  </si>
  <si>
    <t xml:space="preserve">Subsidiaries in foreign countries are taxed individually, making overall taxation difficult to forecast </t>
  </si>
  <si>
    <t xml:space="preserve">Tax: </t>
  </si>
  <si>
    <t xml:space="preserve">Other Non-Op. Income: </t>
  </si>
  <si>
    <t xml:space="preserve">(Cash is not forecasted but a result of the Cash-Flow Statement Result) </t>
  </si>
  <si>
    <t xml:space="preserve">(Kept Constant (no capital markets financing -&gt; strong financial position) </t>
  </si>
  <si>
    <t xml:space="preserve">EBITDA </t>
  </si>
  <si>
    <t>EBITDA:</t>
  </si>
  <si>
    <t xml:space="preserve">For final calculation, the calculated EBIT needs to be adjusted by the D&amp;A. </t>
  </si>
  <si>
    <t xml:space="preserve">Backlog Conversion Revenue </t>
  </si>
  <si>
    <t xml:space="preserve">PPE </t>
  </si>
  <si>
    <t xml:space="preserve">Basic Principle: </t>
  </si>
  <si>
    <t>Operating Items are based on Revenue</t>
  </si>
  <si>
    <t xml:space="preserve">Financing&amp;Investing on a roll forward scheduel (add to previous years amount and subtract from it) </t>
  </si>
  <si>
    <t xml:space="preserve">Other items are idiosyncratic/forecasted by using company guidance </t>
  </si>
  <si>
    <t xml:space="preserve">(Kept constant, since there is no clear indication if the company intends to increase/decrease this) </t>
  </si>
  <si>
    <t xml:space="preserve">(THIS IS A PLUG, which will be balanced through the other items. Not forecasted as a %) </t>
  </si>
  <si>
    <t>GR Order Backlog</t>
  </si>
  <si>
    <t>GR Revenue</t>
  </si>
  <si>
    <t>V2</t>
  </si>
  <si>
    <t>V1</t>
  </si>
  <si>
    <t xml:space="preserve">These are essentially liabilites (cash we have recieved) for services/products we still have to deliver. </t>
  </si>
  <si>
    <t xml:space="preserve">Contract Assets (as unbilled revenue) are NOT part of trade recievables, but separatly forecasted </t>
  </si>
  <si>
    <t>Recievables (withour contract assets in the forecast)</t>
  </si>
  <si>
    <t xml:space="preserve">Actual accounts recievable </t>
  </si>
  <si>
    <t>DSO</t>
  </si>
  <si>
    <t>Contract Assets % of Revenue</t>
  </si>
  <si>
    <t>Contract liabilites as % of Revenue</t>
  </si>
  <si>
    <t>Trade Recievables</t>
  </si>
  <si>
    <t xml:space="preserve">Contract liabilities (as revenue for unfinished services) is NOT part of trade payables, but separatly forecasted </t>
  </si>
  <si>
    <t>Trade Payable</t>
  </si>
  <si>
    <t>Contract Liabilites</t>
  </si>
  <si>
    <t>% of revenue</t>
  </si>
  <si>
    <t>DPO</t>
  </si>
  <si>
    <t>Actual trade payables</t>
  </si>
  <si>
    <t xml:space="preserve">Deferred Tax Liabilities </t>
  </si>
  <si>
    <t xml:space="preserve">This will be forecast in the net change in deferred tax as most of it arises due to the PPE-Capex. </t>
  </si>
  <si>
    <t xml:space="preserve">Important for the DCF is also the assumption that in the long run (terminal value), Capex = Depreciation, </t>
  </si>
  <si>
    <t>so it will trend towards 0 in all scenarios</t>
  </si>
  <si>
    <t>Deffered Tax Liabilities</t>
  </si>
  <si>
    <t>(FX is impossible to forecast, especially with the expansion in multiple jurisdictions/currencies who will have offsetting effects, therefore kept at 0)</t>
  </si>
  <si>
    <t xml:space="preserve">(Kept constant, because share of other investors in subsidiaries is not likely to change. SA, FR, DE subsidiaries with other shareholders) </t>
  </si>
  <si>
    <t>Targeted Scenario</t>
  </si>
  <si>
    <t>(+) New Leases</t>
  </si>
  <si>
    <t>(+) New Financing</t>
  </si>
  <si>
    <t>(-) Finance Repayments</t>
  </si>
  <si>
    <t xml:space="preserve">(-) lease Repayments </t>
  </si>
  <si>
    <t xml:space="preserve">Debt Scheduel </t>
  </si>
  <si>
    <t xml:space="preserve">(separated for Leases and Long term debt) </t>
  </si>
  <si>
    <t xml:space="preserve">Long term </t>
  </si>
  <si>
    <t xml:space="preserve">Cash Accrural </t>
  </si>
  <si>
    <t>Leases</t>
  </si>
  <si>
    <t xml:space="preserve">Mandatory Repayments </t>
  </si>
  <si>
    <t xml:space="preserve">Company uses Terminal Growth rate of 1% in their own DCF Model </t>
  </si>
  <si>
    <t xml:space="preserve">Mandatory repayments </t>
  </si>
  <si>
    <t xml:space="preserve">Debt New: </t>
  </si>
  <si>
    <t xml:space="preserve">Repayments are made based on the due dates of credit as per annual report </t>
  </si>
  <si>
    <t xml:space="preserve">If cash-flow is not enough to cover the repayment, then new issuance is assumed (otherwise the company would be debt free anyway) </t>
  </si>
  <si>
    <t xml:space="preserve">So repayments can be modeled as: all the existing debt with due dates (but only the principal, intrest is calculated seperatly)  </t>
  </si>
  <si>
    <t xml:space="preserve">(+) any additional debt that must be issued, regarding their assumed due date (for this, historical debt conditions can be an indicator) </t>
  </si>
  <si>
    <t xml:space="preserve">Hensoldt AG </t>
  </si>
  <si>
    <t>Hensoldt France</t>
  </si>
  <si>
    <t xml:space="preserve">Hensoldt South Africa </t>
  </si>
  <si>
    <t xml:space="preserve">are therefore a priority to be repaied </t>
  </si>
  <si>
    <t xml:space="preserve">(Optional Repayments/early repayments) </t>
  </si>
  <si>
    <t xml:space="preserve">Total Repayments </t>
  </si>
  <si>
    <t>Cash Safety lvl</t>
  </si>
  <si>
    <t>Yield Curve (Euribor)</t>
  </si>
  <si>
    <t>New debt Issuance</t>
  </si>
  <si>
    <t xml:space="preserve">Beginning Debt (includes financing and leases) </t>
  </si>
  <si>
    <t xml:space="preserve">Debt Issuance: </t>
  </si>
  <si>
    <t xml:space="preserve">In 2027, there is a maturity wall with almost 1 bn of debt needing to be refinanced </t>
  </si>
  <si>
    <t xml:space="preserve">since cash-flow can not cover this, a new issuance in the exact amount is assumed with the following conditions </t>
  </si>
  <si>
    <t xml:space="preserve">Cupon: 3M Euroibor +1,75% Intrest rate, Due date: 2032 (5 year loan agreement). </t>
  </si>
  <si>
    <t xml:space="preserve">Since this loan is cheaper than the revolving credit facility, it is assumed the facility will be unused just as the previous one and only exists as a safety provision. </t>
  </si>
  <si>
    <t xml:space="preserve">Cash management (and cash accrural allow for equity financing in a sufficient manner) </t>
  </si>
  <si>
    <t>Additions (Capex related from FA-Scheduel)</t>
  </si>
  <si>
    <t>Repayments (set as Depreciation for leases)</t>
  </si>
  <si>
    <t xml:space="preserve">(detailled forecast with actual loans) </t>
  </si>
  <si>
    <t>Term-Loan (620)</t>
  </si>
  <si>
    <t>Term-Facility(450)</t>
  </si>
  <si>
    <t>South Africa Loan (4.6)</t>
  </si>
  <si>
    <t>French (0,1)</t>
  </si>
  <si>
    <t>Fench (1)</t>
  </si>
  <si>
    <t>French (2.8)</t>
  </si>
  <si>
    <t>New Debt (990)</t>
  </si>
  <si>
    <t xml:space="preserve">Intrest rate used </t>
  </si>
  <si>
    <t>Lease</t>
  </si>
  <si>
    <t xml:space="preserve">Current Lease </t>
  </si>
  <si>
    <t>Non-Current Lease</t>
  </si>
  <si>
    <t>Payment for lease Liabilities</t>
  </si>
  <si>
    <t xml:space="preserve">% (assumed Intrest rate) </t>
  </si>
  <si>
    <t xml:space="preserve">Intrest rate used for lease intrest </t>
  </si>
  <si>
    <t>Lease payments</t>
  </si>
  <si>
    <t xml:space="preserve">Lease Expense </t>
  </si>
  <si>
    <t>Total Expense</t>
  </si>
  <si>
    <t xml:space="preserve">Repayments of lease principal roughly equal depreciation of ROU assets </t>
  </si>
  <si>
    <t>Lease Intrest rate hovered in the past around 5%, therefore for forcasting this rate, Hensoldt Corporate Spread + Main Intrest rate scenario has been used</t>
  </si>
  <si>
    <t xml:space="preserve">Lease Amount has been set to Right of Use Net assets, since it corresponds to the additions/detractions directly </t>
  </si>
  <si>
    <t xml:space="preserve">This is forecasted by taking the actual loans HAG has and assuming interest payment until principal is repayed. </t>
  </si>
  <si>
    <t>It also assumes that newly issued debt will have similar conditions to the current loans, meaning Euribor + 1,75%</t>
  </si>
  <si>
    <t xml:space="preserve">Interest Income </t>
  </si>
  <si>
    <t xml:space="preserve">Interest Income from Plan Assets </t>
  </si>
  <si>
    <t xml:space="preserve">Interest Income from Cash </t>
  </si>
  <si>
    <t xml:space="preserve">Interest Income from Currency Swaps </t>
  </si>
  <si>
    <t>Main Interest Rate Used</t>
  </si>
  <si>
    <t xml:space="preserve">This assumes (as reported) that Interest Income is derived from 3 pillars. Interest on Cash, Interest on Plan Assets (Pensions, in this case that are overfunded) and </t>
  </si>
  <si>
    <t xml:space="preserve">Interest rate Swaps (which are there to hedge the floating rate debt into a fixed debt) </t>
  </si>
  <si>
    <t xml:space="preserve">The main interest rate used for a cash forecast in this case is the same as otherwise (Euribor or the other chosen scenario) </t>
  </si>
  <si>
    <t xml:space="preserve">Total </t>
  </si>
  <si>
    <t>Plan Assets are forecast as constant, since the pension obligations don't necessariyl increase disproportionatly to the provisions that are made</t>
  </si>
  <si>
    <t xml:space="preserve">Other Financial Net </t>
  </si>
  <si>
    <t>Also kept at 0, since those are miscallanious items which dont have a large impact but are difficult to forecast</t>
  </si>
  <si>
    <t xml:space="preserve">Ending Current Debt </t>
  </si>
  <si>
    <t>Ending Non-Current Debt</t>
  </si>
  <si>
    <t>Ending Current Debt Financing</t>
  </si>
  <si>
    <t>Ending Current Debt Lease</t>
  </si>
  <si>
    <t xml:space="preserve">Version 1: Just the refinancing of the two large loans under then present conditions </t>
  </si>
  <si>
    <t>Income tax</t>
  </si>
  <si>
    <t>as a Share of Income tax</t>
  </si>
  <si>
    <t>Deferred Tax liabilities</t>
  </si>
  <si>
    <t>Since there is no clear guidance by the company itesl on how deferred taxes are going to develop other than that they will grow in clockstep with future taxable income</t>
  </si>
  <si>
    <t xml:space="preserve">ie. EBT, this means that Tax liablities (at leas current ones) are difficult to foercast. </t>
  </si>
  <si>
    <t xml:space="preserve">Tax Considerations </t>
  </si>
  <si>
    <t>deferred tax assets</t>
  </si>
  <si>
    <t>Net value</t>
  </si>
  <si>
    <t>Share in %</t>
  </si>
  <si>
    <t>For Non-Current tax liabilities, it is advisable to use the share of net tax liabilities (meaning deffered liabilities - deferred assets) of total non-current assets</t>
  </si>
  <si>
    <t>this is a solid indication of how large the estimated future tax burden will be and avoids circular refrences</t>
  </si>
  <si>
    <t xml:space="preserve">Taxes actually payed (for CF Purposes) </t>
  </si>
  <si>
    <t xml:space="preserve">Income Tax - change in Net deffered tax - change in current tax liabilities </t>
  </si>
  <si>
    <t>Income Tax</t>
  </si>
  <si>
    <t xml:space="preserve">Change in deferred tax liabilities </t>
  </si>
  <si>
    <t xml:space="preserve">Change in net defferred tax (non-current) </t>
  </si>
  <si>
    <t xml:space="preserve">(from debt and cash scheduel, assumption is, that the historical average of total-non current assets for net deffered tax is held steady) </t>
  </si>
  <si>
    <t xml:space="preserve">Provisions: </t>
  </si>
  <si>
    <t>Provisions:</t>
  </si>
  <si>
    <t>Total Provisions</t>
  </si>
  <si>
    <t>Share of Provisions from revenue</t>
  </si>
  <si>
    <t>Split between current and non-current</t>
  </si>
  <si>
    <t>Current</t>
  </si>
  <si>
    <t>Non-Current</t>
  </si>
  <si>
    <t xml:space="preserve">Split between Current: 30% and Non-current: 70% of all provisions. </t>
  </si>
  <si>
    <t xml:space="preserve">provisions are liabilities (warranties/pension obligations), </t>
  </si>
  <si>
    <t>which can be forecast as a % share of revenue, since they scale with employee count as well as increasing customer relationships</t>
  </si>
  <si>
    <t>Since the historical average is around 30%, this serves as a probable forecasting tool.</t>
  </si>
  <si>
    <t>Provisions % of Revenue</t>
  </si>
  <si>
    <t xml:space="preserve">Change in Working Capital </t>
  </si>
  <si>
    <t>Change in Provisions</t>
  </si>
  <si>
    <t>Contract balane</t>
  </si>
  <si>
    <t>Change</t>
  </si>
  <si>
    <t>Other Non-current Liabiltiy</t>
  </si>
  <si>
    <t xml:space="preserve">(Share amount is kept constant) </t>
  </si>
  <si>
    <t xml:space="preserve">Net Change in debt </t>
  </si>
  <si>
    <t xml:space="preserve">Assumptions: </t>
  </si>
  <si>
    <t>(-) Capital Expenditure</t>
  </si>
  <si>
    <t>(-) Change in Net Working Capital</t>
  </si>
  <si>
    <t>(+) Depreciation &amp; Amortisation</t>
  </si>
  <si>
    <t xml:space="preserve"> =NOPAT</t>
  </si>
  <si>
    <t>(-) Effective Tax Rate</t>
  </si>
  <si>
    <t>Utilised Tax Rate is the same as the assumed (for Income tax purposes) 28,3%</t>
  </si>
  <si>
    <t>Unlevered Free Cashflow</t>
  </si>
  <si>
    <t>WACC</t>
  </si>
  <si>
    <t>Equity Value</t>
  </si>
  <si>
    <t>Risk Free Rate</t>
  </si>
  <si>
    <t>beta</t>
  </si>
  <si>
    <t>Equity Risk HAG</t>
  </si>
  <si>
    <t>R(f)</t>
  </si>
  <si>
    <t>R(m)</t>
  </si>
  <si>
    <t>ß</t>
  </si>
  <si>
    <t>D</t>
  </si>
  <si>
    <t>E</t>
  </si>
  <si>
    <t>Tax Rate</t>
  </si>
  <si>
    <t>T</t>
  </si>
  <si>
    <t>Cost of Debt</t>
  </si>
  <si>
    <t>R(d)</t>
  </si>
  <si>
    <t>Caulculation</t>
  </si>
  <si>
    <t xml:space="preserve">Average Cost of debt is: Actual cost of debt + cost of lease / average debt balance (which includes leases) </t>
  </si>
  <si>
    <t xml:space="preserve">ß is derived from </t>
  </si>
  <si>
    <t>Risk Free Rate is current (29.10.2025) 10y Bunds rate at 2,628%</t>
  </si>
  <si>
    <t>https://www.alphaspread.com/security/xetra/hag/discount-rate</t>
  </si>
  <si>
    <t xml:space="preserve">Cost of Equity </t>
  </si>
  <si>
    <t xml:space="preserve">R (e ) </t>
  </si>
  <si>
    <t xml:space="preserve"> E/(E+D)*R( e) +D/(D+E)*(1-T)*R(d)</t>
  </si>
  <si>
    <t>Terminal Value</t>
  </si>
  <si>
    <t>Terminal Growth rate</t>
  </si>
  <si>
    <t xml:space="preserve">(all liabilities) </t>
  </si>
  <si>
    <t xml:space="preserve">Net Present Value FCF </t>
  </si>
  <si>
    <t>Cash (currently)</t>
  </si>
  <si>
    <t xml:space="preserve">Total Debt </t>
  </si>
  <si>
    <t xml:space="preserve">(-) Net Debt </t>
  </si>
  <si>
    <t xml:space="preserve">Equity Value </t>
  </si>
  <si>
    <t>Number of Shares</t>
  </si>
  <si>
    <t>€ per Share</t>
  </si>
  <si>
    <t>€/share</t>
  </si>
  <si>
    <t xml:space="preserve">(Using Terminal Value) </t>
  </si>
  <si>
    <t xml:space="preserve">(Using Exit Multiple) </t>
  </si>
  <si>
    <t>Implied Share Price 2</t>
  </si>
  <si>
    <t>Implied Share Price 1</t>
  </si>
  <si>
    <t xml:space="preserve">Exit Multiple </t>
  </si>
  <si>
    <t xml:space="preserve">Defence (Mkt cap weighted mean) </t>
  </si>
  <si>
    <t xml:space="preserve">Defence (Median) </t>
  </si>
  <si>
    <t>Median Multiple</t>
  </si>
  <si>
    <t>Market Cap weighted Mean</t>
  </si>
  <si>
    <t>Exit Multiple (EV/EBITDA)</t>
  </si>
  <si>
    <t>Exit Multiple</t>
  </si>
  <si>
    <t>NPV Exit Multiple</t>
  </si>
  <si>
    <t>NPV FCF</t>
  </si>
  <si>
    <t>(-) Net Debt</t>
  </si>
  <si>
    <t>Enterprise Value 1</t>
  </si>
  <si>
    <t>Enterprise Value 2</t>
  </si>
  <si>
    <t>Implied Share price 1</t>
  </si>
  <si>
    <t>Implied Share price 2</t>
  </si>
  <si>
    <t xml:space="preserve">Table of Contents: </t>
  </si>
  <si>
    <t xml:space="preserve">1. Inputs </t>
  </si>
  <si>
    <t>2. Income Statement</t>
  </si>
  <si>
    <t>3. Balance Sheet</t>
  </si>
  <si>
    <t>4. Cash Flow Statement</t>
  </si>
  <si>
    <t>5. Revenue/Expense Forecast</t>
  </si>
  <si>
    <t xml:space="preserve">Forecast Sheets: </t>
  </si>
  <si>
    <t xml:space="preserve">6. Fixed Asset Forecast </t>
  </si>
  <si>
    <t>7. Working Capital / Other Assets</t>
  </si>
  <si>
    <t xml:space="preserve">8. Debt &amp; Cash Forecast </t>
  </si>
  <si>
    <t>Output:</t>
  </si>
  <si>
    <t xml:space="preserve">9. DCF Modelling </t>
  </si>
  <si>
    <t>10. Competitors KPI's</t>
  </si>
  <si>
    <t xml:space="preserve">Inputs/Assumptions to be altered </t>
  </si>
  <si>
    <t xml:space="preserve">Revenue &amp; Expenses: </t>
  </si>
  <si>
    <t>Working Capital:</t>
  </si>
  <si>
    <t>Fixed Asset Forecast:</t>
  </si>
  <si>
    <t>Debt &amp; Cash:</t>
  </si>
  <si>
    <t>Intrest rate Spread (Leases)</t>
  </si>
  <si>
    <t xml:space="preserve">Intrest rate Spead (Debt) </t>
  </si>
  <si>
    <t xml:space="preserve">Version: </t>
  </si>
  <si>
    <t xml:space="preserve">Share of CAPEX </t>
  </si>
  <si>
    <t>Intangible</t>
  </si>
  <si>
    <t xml:space="preserve">Non-Controlling Interest: </t>
  </si>
  <si>
    <t>30% SA; 6,7% US; 15% FR; 9,4% DE are non-controlling interest in Subsidiaries</t>
  </si>
  <si>
    <t>since the Holding company is 25% owned by Leonardo, 25% German Government and 50% Float, 2 mn as an average of the past years is assumed</t>
  </si>
  <si>
    <t>Average</t>
  </si>
  <si>
    <t>Share of D&amp;A</t>
  </si>
  <si>
    <t xml:space="preserve">(use the market cap, since this is the equity value * multiple it is assigned) </t>
  </si>
  <si>
    <t>Stock</t>
  </si>
  <si>
    <t>(+)</t>
  </si>
  <si>
    <t>(-)</t>
  </si>
  <si>
    <t>Contract Liabilities</t>
  </si>
  <si>
    <t>Other Liabilities</t>
  </si>
  <si>
    <t xml:space="preserve">Change in </t>
  </si>
  <si>
    <t xml:space="preserve">Scenarios </t>
  </si>
  <si>
    <t xml:space="preserve">1 is the most pessimistic assumption </t>
  </si>
  <si>
    <t xml:space="preserve">2 is a realistic asumption </t>
  </si>
  <si>
    <t xml:space="preserve">3 is the optimistic forecast </t>
  </si>
  <si>
    <t xml:space="preserve">4 is - if available - companies own guidance </t>
  </si>
  <si>
    <t>share of total non-current assets</t>
  </si>
  <si>
    <t>Total non-Current assets</t>
  </si>
  <si>
    <t xml:space="preserve">It is therefore assumed, that current deffered taxliabilities are comprised of 30% of the Income tax that is expected to be payed in that year </t>
  </si>
  <si>
    <t>Income Tax Recievables (Current Tax Assets)</t>
  </si>
  <si>
    <t xml:space="preserve">Since it would create a circular refrence, making income tax revievables a share of current assets, revenue is substitutet (although a more blunt tool) </t>
  </si>
  <si>
    <t xml:space="preserve">Deferred Taxes (Current) </t>
  </si>
  <si>
    <t xml:space="preserve">Deferred Taxes (Non-Current) </t>
  </si>
  <si>
    <t xml:space="preserve">There is no clear indication for weather deferred current tax liabilities follow a specific trend </t>
  </si>
  <si>
    <t>Therefore, an industry average of 30% of the income tax burden is taken as a proxy</t>
  </si>
  <si>
    <t xml:space="preserve">Net Deferred Tax Liability </t>
  </si>
  <si>
    <t>Tax PP&amp;E Scheduel</t>
  </si>
  <si>
    <t xml:space="preserve">Beginning Book PPE </t>
  </si>
  <si>
    <t>(+) CAPEX</t>
  </si>
  <si>
    <t>(-) Tax D&amp;A</t>
  </si>
  <si>
    <t>Ending Tax PP&amp;E</t>
  </si>
  <si>
    <t>Ending Book PPE</t>
  </si>
  <si>
    <t>Cumulative Timing Diffrence</t>
  </si>
  <si>
    <t xml:space="preserve">Ending Deferred Tax Liabilitiy </t>
  </si>
  <si>
    <t xml:space="preserve">(Because Timing Diffrence * Tax Rate -&gt; Tax Liability) </t>
  </si>
  <si>
    <t>(+15% above Book D&amp;A)</t>
  </si>
  <si>
    <t xml:space="preserve">Net DTL </t>
  </si>
  <si>
    <t xml:space="preserve">(Already Included in Change in Debt/Financing) </t>
  </si>
  <si>
    <t>L</t>
  </si>
  <si>
    <t>M</t>
  </si>
  <si>
    <t>Other Current Liabilties</t>
  </si>
  <si>
    <t>Other Current Asserts</t>
  </si>
  <si>
    <t>Current Provisions:</t>
  </si>
  <si>
    <t>Non-current Provisions</t>
  </si>
  <si>
    <t xml:space="preserve">Def Tax Liabilities (Non-Current) </t>
  </si>
  <si>
    <t xml:space="preserve">Def Tax Liabilities (Current) </t>
  </si>
  <si>
    <t xml:space="preserve">Deferred Tax assets (Non-current </t>
  </si>
  <si>
    <t xml:space="preserve">Deferred Tax Assets (current) </t>
  </si>
  <si>
    <t xml:space="preserve">Net Change in Tax </t>
  </si>
  <si>
    <t xml:space="preserve">(HERE IS THE CRUX if a Value ERROR exists again. Since D&amp;A is dependant on total assets, this will make a diffrence) </t>
  </si>
  <si>
    <t xml:space="preserve">(Kept constant, since there is no indication/legal guidline forcing the company to keep more of it's excess cash in reserves) </t>
  </si>
  <si>
    <t xml:space="preserve">(since there is no clear indication of this changing dramatically) </t>
  </si>
  <si>
    <t xml:space="preserve">Beginnign Cash </t>
  </si>
  <si>
    <t xml:space="preserve">(+) CFO </t>
  </si>
  <si>
    <t xml:space="preserve">(+) CFI </t>
  </si>
  <si>
    <t xml:space="preserve">(+) Mandatory Financin (Issuance - Repayments) </t>
  </si>
  <si>
    <t>(-) Dividends</t>
  </si>
  <si>
    <t xml:space="preserve"> =Cash Avaliable </t>
  </si>
  <si>
    <t>(-) Minimum Cash balance</t>
  </si>
  <si>
    <t xml:space="preserve"> =Excess to pay down debt </t>
  </si>
  <si>
    <t xml:space="preserve">Minimum Cash reserce </t>
  </si>
  <si>
    <t xml:space="preserve">Reduction to debt </t>
  </si>
  <si>
    <t xml:space="preserve">While the Structural drivers (uncertain global environment, continuing increases in defense spending in HAG core business areas, fiscal expansion) </t>
  </si>
  <si>
    <t xml:space="preserve">are in tact, there are significant risks - ie if the Russia-Ukrain War stops and defense spending does not follow the forecasted path to reach 3.5% in 2035 for all Nato countries (except Spain) </t>
  </si>
  <si>
    <t xml:space="preserve">Growth therefore depends not only on governments desire to purchase but also to deliver on the backlog and expand into new markets, especially in the middle east </t>
  </si>
  <si>
    <t>While the current book to bill ratio of 1,2 indicates significant future backlog, HAG believes, that they can accellarate their own growth by entering new markets</t>
  </si>
  <si>
    <t>and refocussing their offering from products to a solutions based approach. This is underlined by the aquisition of a new business (ESG) in 2024</t>
  </si>
  <si>
    <t>Sanity Check (Invers EBIT Margin)</t>
  </si>
  <si>
    <t xml:space="preserve">This essentially measures, how much of the existing backlog hensoldt is able to turn into billable revenue. Since HAG is continuously increasing capactiy </t>
  </si>
  <si>
    <t xml:space="preserve">either in personall but also on in terms of sheet product output with a record almost 130 million in R&amp;D Spending in 2025, it is very likely, that large parts of the backlog can be turned into actionable growth. </t>
  </si>
  <si>
    <t xml:space="preserve">Although comparative disadvantages exist for any industrial production in Europe, the defense sector is somewhat isolated from this due to the </t>
  </si>
  <si>
    <t xml:space="preserve">increasing willingness of all participant (planning agencies, banks, regulators, potential employees) to support it's companies. </t>
  </si>
  <si>
    <t xml:space="preserve">Other Income is kept 0, because it is impossible to forecast with any degree of certainty/would otherwise distort the model </t>
  </si>
  <si>
    <t xml:space="preserve">this serves as a usefull ploy in order to estimate, how much production items are needed to scale with the revenue growth expected. </t>
  </si>
  <si>
    <t xml:space="preserve">Capxe is taken as a share of Revenue and then devided by the diffrent investment categories (PPE, Intangibles, Right of Use). </t>
  </si>
  <si>
    <t>Although it is not actually capex but expansion/new lease agreements</t>
  </si>
  <si>
    <t xml:space="preserve">Disposals are reductions of PPE assets other than depreciation, which is the orderly book value reduction of assets </t>
  </si>
  <si>
    <t xml:space="preserve">therefore, they can be taken as a share of gross assets, since they will also scale with the amount of assets aquired. </t>
  </si>
  <si>
    <t>Depreciation</t>
  </si>
  <si>
    <t xml:space="preserve">This is linked to the total gross assets, since those are the assets actually depreciationg. </t>
  </si>
  <si>
    <t xml:space="preserve">Again, this is forecast as a share of beginning gross assets and then split among the three categories, although they are called Amortisation </t>
  </si>
  <si>
    <t xml:space="preserve">for intangible assets. </t>
  </si>
  <si>
    <t xml:space="preserve">The net effect of Capex and D&amp;A for each item is then the actual change (+/- misscallenious items) that happens to the balance sheet position. </t>
  </si>
  <si>
    <t xml:space="preserve">The assumption for capex is derived from a) historical figures through baysian thinking as a baseline. But b) then the companies own forecast as well as industry </t>
  </si>
  <si>
    <t>growth data and the disproportionat growth rates for military budgets especially in germany are factored in. This is needed, because Revenue expansion and the conversion rate of Backlog</t>
  </si>
  <si>
    <t xml:space="preserve">require large upfront investments in machienery and other assets (such as software) to deliver on the deals signed. </t>
  </si>
  <si>
    <t xml:space="preserve">Tax Liabilities are calculated as diffrent tax regiemes for writing down assets. This is done a s simple increase to the depreciation book assumption, in line with industry standards. </t>
  </si>
  <si>
    <t>Core Assumptions:</t>
  </si>
  <si>
    <t>DOI</t>
  </si>
  <si>
    <t xml:space="preserve">Informed by historical values, needs to scale with revenue in order to fullfill the backlog </t>
  </si>
  <si>
    <t xml:space="preserve">In line with historical trends, but contract assets are separated and forecast as a share from revenue. So not directly lined to historical values </t>
  </si>
  <si>
    <t>Same story as DSO, but here Contract liabilities are separated</t>
  </si>
  <si>
    <t xml:space="preserve">Other current assets </t>
  </si>
  <si>
    <t xml:space="preserve">Miscallanious items, that can only be forecast in bulk </t>
  </si>
  <si>
    <t xml:space="preserve">Change in Working Capital: </t>
  </si>
  <si>
    <t xml:space="preserve"> since it is cash-effective and would be onerous to calculate on it's own </t>
  </si>
  <si>
    <t>outflow. While not direcly being part of the working capital, the change in other categories is also subsumed here,</t>
  </si>
  <si>
    <t>This is calculated, by assesing all the year over year balance sheet changes and adding increased liabilities as a cash inflow, while increased assets are subtracted as a cash</t>
  </si>
  <si>
    <t xml:space="preserve">Repayments, that can be made through cash-flow (smaller debt items) will be made this way, because they also usually have higher intrest rates and </t>
  </si>
  <si>
    <t>&lt;-</t>
  </si>
  <si>
    <t>Company</t>
  </si>
  <si>
    <t>Revenue (Sales)</t>
  </si>
  <si>
    <t>Order Backlog (Book)</t>
  </si>
  <si>
    <t>Backlog-to-Sales Ratio</t>
  </si>
  <si>
    <t>Adj. EBITDA/EBIT Margin</t>
  </si>
  <si>
    <t>R&amp;D as % of Revenue</t>
  </si>
  <si>
    <t>Thales (Group)</t>
  </si>
  <si>
    <t>€20.6 Billion</t>
  </si>
  <si>
    <t>€50.6 Billion</t>
  </si>
  <si>
    <t>2.46x</t>
  </si>
  <si>
    <t>11.8% (Adj. EBIT Margin)</t>
  </si>
  <si>
    <t>6.2% (Self-funded R&amp;D: €1.274bn / €20.6bn)</t>
  </si>
  <si>
    <t>Elbit Systems</t>
  </si>
  <si>
    <t>$6.8 Billion</t>
  </si>
  <si>
    <t>$22.6 Billion</t>
  </si>
  <si>
    <t>3.31x</t>
  </si>
  <si>
    <t>8.1% (Non-GAAP Operating Margin)</t>
  </si>
  <si>
    <t>6.8% ($466.4m / $6.8bn)</t>
  </si>
  <si>
    <t>L3Harris</t>
  </si>
  <si>
    <t>$21.3 Billion</t>
  </si>
  <si>
    <t>$34.0 Billion</t>
  </si>
  <si>
    <t>1.60x</t>
  </si>
  <si>
    <t>15.4% (Adj. Segment Operating Margin)</t>
  </si>
  <si>
    <t>~2.0% (Capital Expenditures as % of sales) (1)</t>
  </si>
  <si>
    <t>BAE Systems (Group)</t>
  </si>
  <si>
    <t>£28.3 Billion</t>
  </si>
  <si>
    <t>£77.8 Billion</t>
  </si>
  <si>
    <t>2.75x</t>
  </si>
  <si>
    <t>10.7% (Underlying EBIT Margin: £3.015bn / £28.3bn)</t>
  </si>
  <si>
    <t>Significant (2)</t>
  </si>
  <si>
    <t>Leonardo (Group)</t>
  </si>
  <si>
    <t>€17.8 Billion</t>
  </si>
  <si>
    <t>€44.0 Billion</t>
  </si>
  <si>
    <t>2.47x</t>
  </si>
  <si>
    <t>8.6% (EBITA Margin: €1.525bn / €17.8bn)</t>
  </si>
  <si>
    <t>~14.0% (€2.490bn / €17.8bn)</t>
  </si>
  <si>
    <t>SAAB</t>
  </si>
  <si>
    <t>SEK 63.8 Billion</t>
  </si>
  <si>
    <t>SEK 187 Billion</t>
  </si>
  <si>
    <t>2.93x</t>
  </si>
  <si>
    <t>13.1% (EBITDA Margin)</t>
  </si>
  <si>
    <t>Significant (4)</t>
  </si>
  <si>
    <t>Thales</t>
  </si>
  <si>
    <t>Elbit</t>
  </si>
  <si>
    <t xml:space="preserve">Hensoldt </t>
  </si>
  <si>
    <t>BAE Systems (Electronics)</t>
  </si>
  <si>
    <t xml:space="preserve">Order Backlog </t>
  </si>
  <si>
    <t xml:space="preserve">1€ = 1,15 $ </t>
  </si>
  <si>
    <t xml:space="preserve">1€ = 11 SEK </t>
  </si>
  <si>
    <t xml:space="preserve">1€ = 0,88 Pound </t>
  </si>
  <si>
    <t xml:space="preserve">Adj EBITDA/Ebit Margin </t>
  </si>
  <si>
    <t xml:space="preserve">Normalising the Data </t>
  </si>
  <si>
    <t>Max</t>
  </si>
  <si>
    <t>Min</t>
  </si>
  <si>
    <t>Competitive Ranking</t>
  </si>
  <si>
    <t>Rank</t>
  </si>
  <si>
    <t xml:space="preserve">Operating Segments </t>
  </si>
  <si>
    <t>Sensors</t>
  </si>
  <si>
    <t>Optronics</t>
  </si>
  <si>
    <t xml:space="preserve">Geographic Locations </t>
  </si>
  <si>
    <t>Germany</t>
  </si>
  <si>
    <t>Middle East</t>
  </si>
  <si>
    <t>APAC</t>
  </si>
  <si>
    <t>Africa</t>
  </si>
  <si>
    <t>Europe (excluding Germany)</t>
  </si>
  <si>
    <t>North &amp; South America</t>
  </si>
  <si>
    <t xml:space="preserve">Exit Multiple: </t>
  </si>
  <si>
    <t xml:space="preserve">Margin (EBITDA) </t>
  </si>
  <si>
    <t>Delta</t>
  </si>
  <si>
    <t>Final Year</t>
  </si>
  <si>
    <t xml:space="preserve">Current Price </t>
  </si>
  <si>
    <t xml:space="preserve">Upside Potential 1: </t>
  </si>
  <si>
    <t xml:space="preserve">Upside Potential 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</si>
</sst>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3" formatCode="_-* #,##0.00_-;\-* #,##0.00_-;_-* &quot;-&quot;??_-;_-@_-"/>
    <numFmt numFmtId="164" formatCode="0.0%"/>
    <numFmt numFmtId="165" formatCode="0.0"/>
    <numFmt numFmtId="166" formatCode="0.000"/>
  </numFmts>
  <fonts count="30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1"/>
      <color theme="3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3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92D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2"/>
      <color rgb="FF00B050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rial"/>
      <family val="2"/>
    </font>
    <font>
      <b/>
      <sz val="24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/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93">
    <xf numFmtId="0" fontId="0" fillId="0" borderId="0" xfId="0"/>
    <xf numFmtId="0" fontId="1" fillId="0" borderId="1" xfId="1" applyAlignment="1"/>
    <xf numFmtId="0" fontId="2" fillId="0" borderId="2" xfId="2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1" xfId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1" xfId="1" applyFont="1"/>
    <xf numFmtId="0" fontId="4" fillId="0" borderId="2" xfId="2" applyFont="1"/>
    <xf numFmtId="16" fontId="0" fillId="0" borderId="0" xfId="0" applyNumberFormat="1"/>
    <xf numFmtId="0" fontId="6" fillId="0" borderId="0" xfId="0" applyFont="1"/>
    <xf numFmtId="0" fontId="6" fillId="0" borderId="3" xfId="0" applyFont="1" applyBorder="1"/>
    <xf numFmtId="0" fontId="0" fillId="0" borderId="3" xfId="0" applyBorder="1"/>
    <xf numFmtId="1" fontId="0" fillId="0" borderId="0" xfId="0" applyNumberFormat="1"/>
    <xf numFmtId="0" fontId="3" fillId="0" borderId="2" xfId="2" applyFont="1"/>
    <xf numFmtId="0" fontId="7" fillId="0" borderId="2" xfId="2" applyFont="1"/>
    <xf numFmtId="1" fontId="6" fillId="0" borderId="3" xfId="0" applyNumberFormat="1" applyFont="1" applyBorder="1"/>
    <xf numFmtId="1" fontId="6" fillId="0" borderId="0" xfId="0" applyNumberFormat="1" applyFont="1"/>
    <xf numFmtId="0" fontId="6" fillId="0" borderId="4" xfId="0" applyFont="1" applyBorder="1"/>
    <xf numFmtId="0" fontId="0" fillId="0" borderId="4" xfId="0" applyBorder="1"/>
    <xf numFmtId="0" fontId="8" fillId="0" borderId="0" xfId="0" applyFont="1"/>
    <xf numFmtId="0" fontId="8" fillId="0" borderId="4" xfId="0" applyFont="1" applyBorder="1"/>
    <xf numFmtId="0" fontId="6" fillId="0" borderId="5" xfId="0" applyFont="1" applyBorder="1"/>
    <xf numFmtId="0" fontId="0" fillId="0" borderId="5" xfId="0" applyBorder="1"/>
    <xf numFmtId="1" fontId="0" fillId="0" borderId="4" xfId="0" applyNumberFormat="1" applyBorder="1"/>
    <xf numFmtId="1" fontId="6" fillId="0" borderId="5" xfId="0" applyNumberFormat="1" applyFont="1" applyBorder="1"/>
    <xf numFmtId="1" fontId="6" fillId="0" borderId="4" xfId="0" applyNumberFormat="1" applyFont="1" applyBorder="1"/>
    <xf numFmtId="0" fontId="9" fillId="0" borderId="2" xfId="2" applyFont="1"/>
    <xf numFmtId="0" fontId="1" fillId="0" borderId="8" xfId="1" applyBorder="1"/>
    <xf numFmtId="0" fontId="0" fillId="0" borderId="7" xfId="0" applyBorder="1"/>
    <xf numFmtId="14" fontId="0" fillId="0" borderId="7" xfId="0" applyNumberFormat="1" applyBorder="1"/>
    <xf numFmtId="0" fontId="0" fillId="0" borderId="7" xfId="0" applyBorder="1" applyAlignment="1">
      <alignment horizontal="center"/>
    </xf>
    <xf numFmtId="0" fontId="1" fillId="0" borderId="11" xfId="1" applyBorder="1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6" fillId="0" borderId="9" xfId="0" applyFont="1" applyBorder="1"/>
    <xf numFmtId="0" fontId="6" fillId="0" borderId="12" xfId="0" applyFont="1" applyBorder="1"/>
    <xf numFmtId="0" fontId="6" fillId="0" borderId="10" xfId="0" applyFont="1" applyBorder="1"/>
    <xf numFmtId="1" fontId="0" fillId="0" borderId="7" xfId="0" applyNumberFormat="1" applyBorder="1"/>
    <xf numFmtId="1" fontId="6" fillId="0" borderId="9" xfId="0" applyNumberFormat="1" applyFont="1" applyBorder="1"/>
    <xf numFmtId="1" fontId="6" fillId="0" borderId="7" xfId="0" applyNumberFormat="1" applyFont="1" applyBorder="1"/>
    <xf numFmtId="0" fontId="6" fillId="0" borderId="6" xfId="0" applyFont="1" applyBorder="1"/>
    <xf numFmtId="0" fontId="11" fillId="0" borderId="0" xfId="0" applyFont="1"/>
    <xf numFmtId="0" fontId="0" fillId="0" borderId="9" xfId="0" applyBorder="1"/>
    <xf numFmtId="0" fontId="0" fillId="0" borderId="12" xfId="0" applyBorder="1"/>
    <xf numFmtId="0" fontId="0" fillId="2" borderId="14" xfId="0" applyFill="1" applyBorder="1"/>
    <xf numFmtId="0" fontId="0" fillId="3" borderId="0" xfId="0" applyFill="1"/>
    <xf numFmtId="0" fontId="6" fillId="0" borderId="7" xfId="0" applyFont="1" applyBorder="1"/>
    <xf numFmtId="0" fontId="6" fillId="0" borderId="19" xfId="0" applyFont="1" applyBorder="1"/>
    <xf numFmtId="0" fontId="0" fillId="0" borderId="19" xfId="0" applyBorder="1"/>
    <xf numFmtId="1" fontId="0" fillId="0" borderId="20" xfId="0" applyNumberFormat="1" applyBorder="1"/>
    <xf numFmtId="1" fontId="0" fillId="0" borderId="19" xfId="0" applyNumberFormat="1" applyBorder="1"/>
    <xf numFmtId="0" fontId="0" fillId="0" borderId="18" xfId="0" applyBorder="1"/>
    <xf numFmtId="1" fontId="6" fillId="0" borderId="17" xfId="0" applyNumberFormat="1" applyFont="1" applyBorder="1"/>
    <xf numFmtId="1" fontId="6" fillId="0" borderId="21" xfId="0" applyNumberFormat="1" applyFont="1" applyBorder="1"/>
    <xf numFmtId="1" fontId="0" fillId="0" borderId="15" xfId="0" applyNumberFormat="1" applyBorder="1"/>
    <xf numFmtId="1" fontId="6" fillId="0" borderId="22" xfId="0" applyNumberFormat="1" applyFont="1" applyBorder="1"/>
    <xf numFmtId="0" fontId="0" fillId="0" borderId="24" xfId="0" applyBorder="1" applyAlignment="1">
      <alignment horizontal="right"/>
    </xf>
    <xf numFmtId="0" fontId="0" fillId="0" borderId="26" xfId="0" applyBorder="1"/>
    <xf numFmtId="1" fontId="0" fillId="3" borderId="0" xfId="0" applyNumberFormat="1" applyFill="1"/>
    <xf numFmtId="1" fontId="0" fillId="0" borderId="25" xfId="0" applyNumberFormat="1" applyBorder="1"/>
    <xf numFmtId="1" fontId="6" fillId="0" borderId="25" xfId="0" applyNumberFormat="1" applyFont="1" applyBorder="1"/>
    <xf numFmtId="1" fontId="0" fillId="0" borderId="16" xfId="0" applyNumberFormat="1" applyBorder="1"/>
    <xf numFmtId="1" fontId="6" fillId="0" borderId="15" xfId="0" applyNumberFormat="1" applyFont="1" applyBorder="1"/>
    <xf numFmtId="9" fontId="0" fillId="0" borderId="0" xfId="4" applyFont="1"/>
    <xf numFmtId="9" fontId="0" fillId="3" borderId="0" xfId="4" applyFont="1" applyFill="1"/>
    <xf numFmtId="1" fontId="0" fillId="3" borderId="5" xfId="0" applyNumberFormat="1" applyFill="1" applyBorder="1"/>
    <xf numFmtId="43" fontId="0" fillId="3" borderId="0" xfId="3" applyFont="1" applyFill="1"/>
    <xf numFmtId="1" fontId="0" fillId="3" borderId="0" xfId="4" applyNumberFormat="1" applyFont="1" applyFill="1"/>
    <xf numFmtId="1" fontId="13" fillId="3" borderId="0" xfId="0" applyNumberFormat="1" applyFont="1" applyFill="1"/>
    <xf numFmtId="0" fontId="12" fillId="2" borderId="14" xfId="0" applyFont="1" applyFill="1" applyBorder="1"/>
    <xf numFmtId="1" fontId="14" fillId="3" borderId="0" xfId="0" applyNumberFormat="1" applyFont="1" applyFill="1"/>
    <xf numFmtId="2" fontId="0" fillId="3" borderId="0" xfId="0" applyNumberFormat="1" applyFill="1"/>
    <xf numFmtId="9" fontId="0" fillId="2" borderId="14" xfId="4" applyFont="1" applyFill="1" applyBorder="1"/>
    <xf numFmtId="2" fontId="0" fillId="2" borderId="14" xfId="4" applyNumberFormat="1" applyFont="1" applyFill="1" applyBorder="1"/>
    <xf numFmtId="164" fontId="0" fillId="2" borderId="14" xfId="4" applyNumberFormat="1" applyFont="1" applyFill="1" applyBorder="1"/>
    <xf numFmtId="0" fontId="6" fillId="2" borderId="5" xfId="0" applyFont="1" applyFill="1" applyBorder="1"/>
    <xf numFmtId="0" fontId="6" fillId="3" borderId="0" xfId="0" applyFont="1" applyFill="1"/>
    <xf numFmtId="9" fontId="6" fillId="2" borderId="0" xfId="0" applyNumberFormat="1" applyFont="1" applyFill="1"/>
    <xf numFmtId="0" fontId="6" fillId="0" borderId="17" xfId="0" applyFont="1" applyBorder="1"/>
    <xf numFmtId="0" fontId="0" fillId="0" borderId="6" xfId="0" applyBorder="1"/>
    <xf numFmtId="0" fontId="0" fillId="0" borderId="23" xfId="0" applyBorder="1"/>
    <xf numFmtId="0" fontId="0" fillId="0" borderId="24" xfId="0" applyBorder="1"/>
    <xf numFmtId="0" fontId="0" fillId="0" borderId="29" xfId="0" applyBorder="1"/>
    <xf numFmtId="0" fontId="15" fillId="0" borderId="7" xfId="0" applyFont="1" applyBorder="1"/>
    <xf numFmtId="0" fontId="14" fillId="0" borderId="7" xfId="0" applyFont="1" applyBorder="1"/>
    <xf numFmtId="0" fontId="12" fillId="0" borderId="7" xfId="0" applyFont="1" applyBorder="1"/>
    <xf numFmtId="0" fontId="13" fillId="0" borderId="24" xfId="0" applyFont="1" applyBorder="1"/>
    <xf numFmtId="9" fontId="14" fillId="2" borderId="14" xfId="4" applyFont="1" applyFill="1" applyBorder="1"/>
    <xf numFmtId="0" fontId="14" fillId="2" borderId="14" xfId="0" applyFont="1" applyFill="1" applyBorder="1"/>
    <xf numFmtId="0" fontId="14" fillId="2" borderId="28" xfId="0" applyFont="1" applyFill="1" applyBorder="1"/>
    <xf numFmtId="0" fontId="0" fillId="2" borderId="30" xfId="0" applyFill="1" applyBorder="1"/>
    <xf numFmtId="9" fontId="0" fillId="0" borderId="0" xfId="0" applyNumberFormat="1"/>
    <xf numFmtId="9" fontId="0" fillId="0" borderId="10" xfId="0" applyNumberFormat="1" applyBorder="1"/>
    <xf numFmtId="9" fontId="0" fillId="0" borderId="29" xfId="0" applyNumberFormat="1" applyBorder="1"/>
    <xf numFmtId="0" fontId="13" fillId="3" borderId="0" xfId="0" applyFont="1" applyFill="1"/>
    <xf numFmtId="1" fontId="6" fillId="0" borderId="12" xfId="0" applyNumberFormat="1" applyFont="1" applyBorder="1"/>
    <xf numFmtId="9" fontId="0" fillId="2" borderId="14" xfId="0" applyNumberFormat="1" applyFill="1" applyBorder="1"/>
    <xf numFmtId="10" fontId="0" fillId="2" borderId="14" xfId="0" applyNumberFormat="1" applyFill="1" applyBorder="1" applyAlignment="1">
      <alignment horizontal="right"/>
    </xf>
    <xf numFmtId="9" fontId="0" fillId="2" borderId="14" xfId="0" applyNumberFormat="1" applyFill="1" applyBorder="1" applyAlignment="1">
      <alignment horizontal="right"/>
    </xf>
    <xf numFmtId="9" fontId="13" fillId="3" borderId="0" xfId="0" applyNumberFormat="1" applyFont="1" applyFill="1"/>
    <xf numFmtId="9" fontId="0" fillId="2" borderId="28" xfId="4" applyFont="1" applyFill="1" applyBorder="1"/>
    <xf numFmtId="1" fontId="0" fillId="2" borderId="14" xfId="0" applyNumberFormat="1" applyFill="1" applyBorder="1"/>
    <xf numFmtId="165" fontId="0" fillId="2" borderId="14" xfId="0" applyNumberFormat="1" applyFill="1" applyBorder="1"/>
    <xf numFmtId="1" fontId="0" fillId="2" borderId="28" xfId="0" applyNumberFormat="1" applyFill="1" applyBorder="1"/>
    <xf numFmtId="9" fontId="0" fillId="0" borderId="26" xfId="0" applyNumberFormat="1" applyBorder="1"/>
    <xf numFmtId="0" fontId="0" fillId="3" borderId="5" xfId="0" applyFill="1" applyBorder="1"/>
    <xf numFmtId="1" fontId="12" fillId="2" borderId="14" xfId="0" applyNumberFormat="1" applyFont="1" applyFill="1" applyBorder="1"/>
    <xf numFmtId="0" fontId="12" fillId="2" borderId="28" xfId="0" applyFont="1" applyFill="1" applyBorder="1"/>
    <xf numFmtId="1" fontId="0" fillId="0" borderId="0" xfId="0" applyNumberFormat="1" applyAlignment="1">
      <alignment horizontal="center"/>
    </xf>
    <xf numFmtId="0" fontId="12" fillId="0" borderId="17" xfId="0" applyFont="1" applyBorder="1"/>
    <xf numFmtId="0" fontId="12" fillId="0" borderId="5" xfId="0" applyFont="1" applyBorder="1"/>
    <xf numFmtId="2" fontId="0" fillId="2" borderId="14" xfId="0" applyNumberFormat="1" applyFill="1" applyBorder="1"/>
    <xf numFmtId="1" fontId="16" fillId="2" borderId="14" xfId="0" applyNumberFormat="1" applyFont="1" applyFill="1" applyBorder="1"/>
    <xf numFmtId="1" fontId="14" fillId="2" borderId="14" xfId="0" applyNumberFormat="1" applyFont="1" applyFill="1" applyBorder="1"/>
    <xf numFmtId="1" fontId="3" fillId="0" borderId="1" xfId="1" applyNumberFormat="1" applyFont="1"/>
    <xf numFmtId="1" fontId="1" fillId="0" borderId="1" xfId="1" applyNumberFormat="1" applyAlignment="1"/>
    <xf numFmtId="1" fontId="1" fillId="0" borderId="1" xfId="1" applyNumberFormat="1"/>
    <xf numFmtId="1" fontId="0" fillId="0" borderId="26" xfId="0" applyNumberFormat="1" applyBorder="1"/>
    <xf numFmtId="1" fontId="17" fillId="0" borderId="0" xfId="0" applyNumberFormat="1" applyFont="1"/>
    <xf numFmtId="1" fontId="0" fillId="0" borderId="9" xfId="0" applyNumberFormat="1" applyBorder="1"/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10" xfId="0" applyNumberFormat="1" applyBorder="1"/>
    <xf numFmtId="9" fontId="0" fillId="0" borderId="0" xfId="4" applyFont="1" applyBorder="1"/>
    <xf numFmtId="9" fontId="0" fillId="0" borderId="10" xfId="4" applyFont="1" applyBorder="1"/>
    <xf numFmtId="9" fontId="0" fillId="0" borderId="4" xfId="4" applyFont="1" applyBorder="1"/>
    <xf numFmtId="9" fontId="0" fillId="0" borderId="29" xfId="4" applyFont="1" applyBorder="1"/>
    <xf numFmtId="1" fontId="6" fillId="2" borderId="31" xfId="0" applyNumberFormat="1" applyFont="1" applyFill="1" applyBorder="1"/>
    <xf numFmtId="0" fontId="0" fillId="0" borderId="25" xfId="0" applyBorder="1"/>
    <xf numFmtId="9" fontId="0" fillId="0" borderId="7" xfId="4" applyFont="1" applyBorder="1"/>
    <xf numFmtId="10" fontId="0" fillId="2" borderId="14" xfId="4" applyNumberFormat="1" applyFont="1" applyFill="1" applyBorder="1"/>
    <xf numFmtId="2" fontId="0" fillId="2" borderId="28" xfId="0" applyNumberFormat="1" applyFill="1" applyBorder="1"/>
    <xf numFmtId="9" fontId="0" fillId="0" borderId="25" xfId="0" applyNumberFormat="1" applyBorder="1"/>
    <xf numFmtId="2" fontId="16" fillId="2" borderId="14" xfId="0" applyNumberFormat="1" applyFont="1" applyFill="1" applyBorder="1"/>
    <xf numFmtId="1" fontId="12" fillId="0" borderId="0" xfId="0" applyNumberFormat="1" applyFont="1"/>
    <xf numFmtId="1" fontId="0" fillId="2" borderId="32" xfId="0" applyNumberFormat="1" applyFill="1" applyBorder="1"/>
    <xf numFmtId="1" fontId="0" fillId="2" borderId="33" xfId="0" applyNumberFormat="1" applyFill="1" applyBorder="1"/>
    <xf numFmtId="9" fontId="0" fillId="2" borderId="32" xfId="4" applyFont="1" applyFill="1" applyBorder="1"/>
    <xf numFmtId="2" fontId="0" fillId="2" borderId="32" xfId="0" applyNumberFormat="1" applyFill="1" applyBorder="1"/>
    <xf numFmtId="1" fontId="0" fillId="3" borderId="4" xfId="0" applyNumberFormat="1" applyFill="1" applyBorder="1"/>
    <xf numFmtId="2" fontId="0" fillId="2" borderId="34" xfId="0" applyNumberFormat="1" applyFill="1" applyBorder="1"/>
    <xf numFmtId="2" fontId="0" fillId="2" borderId="35" xfId="0" applyNumberFormat="1" applyFill="1" applyBorder="1"/>
    <xf numFmtId="10" fontId="0" fillId="0" borderId="0" xfId="0" applyNumberFormat="1"/>
    <xf numFmtId="0" fontId="6" fillId="0" borderId="21" xfId="0" applyFont="1" applyBorder="1"/>
    <xf numFmtId="165" fontId="0" fillId="3" borderId="0" xfId="0" applyNumberFormat="1" applyFill="1"/>
    <xf numFmtId="2" fontId="16" fillId="2" borderId="32" xfId="0" applyNumberFormat="1" applyFont="1" applyFill="1" applyBorder="1"/>
    <xf numFmtId="2" fontId="14" fillId="2" borderId="28" xfId="0" applyNumberFormat="1" applyFont="1" applyFill="1" applyBorder="1"/>
    <xf numFmtId="2" fontId="14" fillId="2" borderId="33" xfId="0" applyNumberFormat="1" applyFont="1" applyFill="1" applyBorder="1"/>
    <xf numFmtId="0" fontId="17" fillId="0" borderId="17" xfId="0" applyFont="1" applyBorder="1"/>
    <xf numFmtId="1" fontId="0" fillId="3" borderId="3" xfId="0" applyNumberFormat="1" applyFill="1" applyBorder="1"/>
    <xf numFmtId="1" fontId="0" fillId="2" borderId="37" xfId="0" applyNumberFormat="1" applyFill="1" applyBorder="1"/>
    <xf numFmtId="2" fontId="0" fillId="2" borderId="33" xfId="0" applyNumberFormat="1" applyFill="1" applyBorder="1"/>
    <xf numFmtId="9" fontId="0" fillId="3" borderId="0" xfId="4" applyFont="1" applyFill="1" applyBorder="1"/>
    <xf numFmtId="9" fontId="0" fillId="2" borderId="33" xfId="4" applyFont="1" applyFill="1" applyBorder="1"/>
    <xf numFmtId="1" fontId="6" fillId="3" borderId="3" xfId="0" applyNumberFormat="1" applyFont="1" applyFill="1" applyBorder="1"/>
    <xf numFmtId="1" fontId="6" fillId="2" borderId="37" xfId="0" applyNumberFormat="1" applyFont="1" applyFill="1" applyBorder="1"/>
    <xf numFmtId="1" fontId="6" fillId="2" borderId="38" xfId="0" applyNumberFormat="1" applyFont="1" applyFill="1" applyBorder="1"/>
    <xf numFmtId="0" fontId="17" fillId="0" borderId="9" xfId="0" applyFont="1" applyBorder="1"/>
    <xf numFmtId="1" fontId="6" fillId="2" borderId="14" xfId="0" applyNumberFormat="1" applyFont="1" applyFill="1" applyBorder="1"/>
    <xf numFmtId="10" fontId="12" fillId="2" borderId="0" xfId="4" applyNumberFormat="1" applyFont="1" applyFill="1" applyBorder="1"/>
    <xf numFmtId="1" fontId="0" fillId="0" borderId="17" xfId="0" applyNumberFormat="1" applyBorder="1"/>
    <xf numFmtId="1" fontId="0" fillId="0" borderId="6" xfId="0" applyNumberFormat="1" applyBorder="1"/>
    <xf numFmtId="1" fontId="0" fillId="0" borderId="23" xfId="0" applyNumberFormat="1" applyBorder="1"/>
    <xf numFmtId="1" fontId="0" fillId="0" borderId="29" xfId="0" applyNumberFormat="1" applyBorder="1"/>
    <xf numFmtId="9" fontId="12" fillId="2" borderId="14" xfId="4" applyFont="1" applyFill="1" applyBorder="1"/>
    <xf numFmtId="0" fontId="0" fillId="0" borderId="39" xfId="0" applyBorder="1"/>
    <xf numFmtId="1" fontId="0" fillId="0" borderId="39" xfId="0" applyNumberFormat="1" applyBorder="1"/>
    <xf numFmtId="1" fontId="6" fillId="0" borderId="40" xfId="0" applyNumberFormat="1" applyFont="1" applyBorder="1"/>
    <xf numFmtId="1" fontId="6" fillId="0" borderId="27" xfId="0" applyNumberFormat="1" applyFont="1" applyBorder="1"/>
    <xf numFmtId="0" fontId="12" fillId="0" borderId="0" xfId="0" applyFont="1"/>
    <xf numFmtId="9" fontId="0" fillId="0" borderId="9" xfId="0" applyNumberFormat="1" applyBorder="1"/>
    <xf numFmtId="0" fontId="6" fillId="0" borderId="26" xfId="0" applyFont="1" applyBorder="1"/>
    <xf numFmtId="0" fontId="21" fillId="0" borderId="0" xfId="0" applyFont="1"/>
    <xf numFmtId="0" fontId="22" fillId="0" borderId="0" xfId="0" applyFont="1"/>
    <xf numFmtId="0" fontId="24" fillId="0" borderId="0" xfId="0" applyFont="1"/>
    <xf numFmtId="0" fontId="23" fillId="0" borderId="0" xfId="0" applyFont="1"/>
    <xf numFmtId="16" fontId="23" fillId="0" borderId="0" xfId="0" applyNumberFormat="1" applyFont="1"/>
    <xf numFmtId="2" fontId="23" fillId="0" borderId="0" xfId="0" applyNumberFormat="1" applyFont="1"/>
    <xf numFmtId="0" fontId="25" fillId="0" borderId="0" xfId="0" applyFont="1"/>
    <xf numFmtId="0" fontId="20" fillId="0" borderId="0" xfId="0" applyFont="1"/>
    <xf numFmtId="0" fontId="25" fillId="0" borderId="4" xfId="0" applyFont="1" applyBorder="1"/>
    <xf numFmtId="0" fontId="0" fillId="0" borderId="4" xfId="0" applyBorder="1" applyAlignment="1">
      <alignment horizontal="center"/>
    </xf>
    <xf numFmtId="0" fontId="20" fillId="0" borderId="4" xfId="0" applyFont="1" applyBorder="1"/>
    <xf numFmtId="0" fontId="25" fillId="0" borderId="13" xfId="0" applyFont="1" applyBorder="1"/>
    <xf numFmtId="0" fontId="20" fillId="0" borderId="13" xfId="0" applyFont="1" applyBorder="1"/>
    <xf numFmtId="0" fontId="0" fillId="0" borderId="13" xfId="0" applyBorder="1"/>
    <xf numFmtId="0" fontId="25" fillId="0" borderId="6" xfId="0" applyFont="1" applyBorder="1"/>
    <xf numFmtId="0" fontId="20" fillId="0" borderId="6" xfId="0" applyFont="1" applyBorder="1"/>
    <xf numFmtId="0" fontId="25" fillId="0" borderId="5" xfId="0" applyFont="1" applyBorder="1"/>
    <xf numFmtId="0" fontId="20" fillId="0" borderId="5" xfId="0" applyFont="1" applyBorder="1"/>
    <xf numFmtId="0" fontId="0" fillId="0" borderId="29" xfId="0" applyBorder="1" applyAlignment="1">
      <alignment horizontal="center"/>
    </xf>
    <xf numFmtId="0" fontId="0" fillId="0" borderId="41" xfId="0" applyBorder="1"/>
    <xf numFmtId="0" fontId="25" fillId="0" borderId="24" xfId="0" applyFont="1" applyBorder="1"/>
    <xf numFmtId="0" fontId="0" fillId="0" borderId="22" xfId="0" applyBorder="1"/>
    <xf numFmtId="0" fontId="0" fillId="0" borderId="17" xfId="0" applyBorder="1"/>
    <xf numFmtId="1" fontId="16" fillId="2" borderId="30" xfId="0" applyNumberFormat="1" applyFont="1" applyFill="1" applyBorder="1"/>
    <xf numFmtId="1" fontId="16" fillId="5" borderId="30" xfId="0" applyNumberFormat="1" applyFont="1" applyFill="1" applyBorder="1"/>
    <xf numFmtId="1" fontId="6" fillId="0" borderId="24" xfId="0" applyNumberFormat="1" applyFont="1" applyBorder="1"/>
    <xf numFmtId="165" fontId="0" fillId="0" borderId="0" xfId="0" applyNumberFormat="1"/>
    <xf numFmtId="165" fontId="6" fillId="0" borderId="24" xfId="0" applyNumberFormat="1" applyFont="1" applyBorder="1"/>
    <xf numFmtId="2" fontId="0" fillId="0" borderId="0" xfId="0" applyNumberFormat="1"/>
    <xf numFmtId="1" fontId="0" fillId="0" borderId="10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12" fillId="0" borderId="25" xfId="0" applyFont="1" applyBorder="1"/>
    <xf numFmtId="1" fontId="0" fillId="3" borderId="7" xfId="0" applyNumberFormat="1" applyFill="1" applyBorder="1"/>
    <xf numFmtId="0" fontId="6" fillId="0" borderId="29" xfId="0" applyFont="1" applyBorder="1"/>
    <xf numFmtId="0" fontId="6" fillId="0" borderId="36" xfId="0" applyFont="1" applyBorder="1"/>
    <xf numFmtId="1" fontId="6" fillId="3" borderId="21" xfId="0" applyNumberFormat="1" applyFont="1" applyFill="1" applyBorder="1"/>
    <xf numFmtId="1" fontId="16" fillId="2" borderId="28" xfId="0" applyNumberFormat="1" applyFont="1" applyFill="1" applyBorder="1"/>
    <xf numFmtId="1" fontId="16" fillId="2" borderId="45" xfId="0" applyNumberFormat="1" applyFont="1" applyFill="1" applyBorder="1"/>
    <xf numFmtId="1" fontId="0" fillId="0" borderId="13" xfId="0" applyNumberFormat="1" applyBorder="1"/>
    <xf numFmtId="1" fontId="0" fillId="5" borderId="14" xfId="0" applyNumberFormat="1" applyFill="1" applyBorder="1"/>
    <xf numFmtId="1" fontId="19" fillId="0" borderId="9" xfId="0" applyNumberFormat="1" applyFont="1" applyBorder="1"/>
    <xf numFmtId="1" fontId="19" fillId="0" borderId="3" xfId="0" applyNumberFormat="1" applyFont="1" applyBorder="1"/>
    <xf numFmtId="1" fontId="19" fillId="0" borderId="12" xfId="0" applyNumberFormat="1" applyFont="1" applyBorder="1"/>
    <xf numFmtId="1" fontId="12" fillId="2" borderId="28" xfId="0" applyNumberFormat="1" applyFont="1" applyFill="1" applyBorder="1"/>
    <xf numFmtId="9" fontId="13" fillId="3" borderId="0" xfId="4" applyFont="1" applyFill="1"/>
    <xf numFmtId="1" fontId="11" fillId="0" borderId="0" xfId="0" applyNumberFormat="1" applyFont="1"/>
    <xf numFmtId="1" fontId="14" fillId="2" borderId="0" xfId="0" applyNumberFormat="1" applyFont="1" applyFill="1"/>
    <xf numFmtId="1" fontId="6" fillId="3" borderId="0" xfId="0" applyNumberFormat="1" applyFont="1" applyFill="1"/>
    <xf numFmtId="9" fontId="0" fillId="2" borderId="30" xfId="4" applyFont="1" applyFill="1" applyBorder="1"/>
    <xf numFmtId="1" fontId="6" fillId="2" borderId="47" xfId="0" applyNumberFormat="1" applyFont="1" applyFill="1" applyBorder="1"/>
    <xf numFmtId="9" fontId="14" fillId="2" borderId="0" xfId="4" applyFont="1" applyFill="1" applyBorder="1"/>
    <xf numFmtId="1" fontId="6" fillId="2" borderId="9" xfId="0" applyNumberFormat="1" applyFont="1" applyFill="1" applyBorder="1"/>
    <xf numFmtId="9" fontId="14" fillId="2" borderId="45" xfId="4" applyFont="1" applyFill="1" applyBorder="1"/>
    <xf numFmtId="1" fontId="14" fillId="2" borderId="30" xfId="0" applyNumberFormat="1" applyFont="1" applyFill="1" applyBorder="1"/>
    <xf numFmtId="9" fontId="0" fillId="0" borderId="24" xfId="4" applyFont="1" applyBorder="1"/>
    <xf numFmtId="2" fontId="6" fillId="2" borderId="47" xfId="0" applyNumberFormat="1" applyFont="1" applyFill="1" applyBorder="1"/>
    <xf numFmtId="2" fontId="6" fillId="2" borderId="37" xfId="0" applyNumberFormat="1" applyFont="1" applyFill="1" applyBorder="1"/>
    <xf numFmtId="2" fontId="6" fillId="2" borderId="38" xfId="0" applyNumberFormat="1" applyFont="1" applyFill="1" applyBorder="1"/>
    <xf numFmtId="1" fontId="12" fillId="2" borderId="42" xfId="0" applyNumberFormat="1" applyFont="1" applyFill="1" applyBorder="1"/>
    <xf numFmtId="1" fontId="18" fillId="0" borderId="9" xfId="0" applyNumberFormat="1" applyFont="1" applyBorder="1"/>
    <xf numFmtId="49" fontId="0" fillId="0" borderId="7" xfId="0" applyNumberFormat="1" applyBorder="1"/>
    <xf numFmtId="0" fontId="11" fillId="0" borderId="7" xfId="0" applyFont="1" applyBorder="1"/>
    <xf numFmtId="0" fontId="0" fillId="0" borderId="20" xfId="0" applyBorder="1"/>
    <xf numFmtId="2" fontId="6" fillId="0" borderId="9" xfId="0" applyNumberFormat="1" applyFont="1" applyBorder="1"/>
    <xf numFmtId="9" fontId="0" fillId="0" borderId="0" xfId="4" applyFont="1" applyFill="1"/>
    <xf numFmtId="2" fontId="16" fillId="2" borderId="34" xfId="0" applyNumberFormat="1" applyFont="1" applyFill="1" applyBorder="1"/>
    <xf numFmtId="2" fontId="0" fillId="3" borderId="0" xfId="4" applyNumberFormat="1" applyFont="1" applyFill="1" applyBorder="1"/>
    <xf numFmtId="1" fontId="0" fillId="3" borderId="0" xfId="4" applyNumberFormat="1" applyFont="1" applyFill="1" applyBorder="1"/>
    <xf numFmtId="10" fontId="0" fillId="2" borderId="34" xfId="4" applyNumberFormat="1" applyFont="1" applyFill="1" applyBorder="1"/>
    <xf numFmtId="9" fontId="0" fillId="3" borderId="4" xfId="4" applyFont="1" applyFill="1" applyBorder="1"/>
    <xf numFmtId="10" fontId="0" fillId="3" borderId="4" xfId="4" applyNumberFormat="1" applyFont="1" applyFill="1" applyBorder="1"/>
    <xf numFmtId="10" fontId="0" fillId="3" borderId="26" xfId="4" applyNumberFormat="1" applyFont="1" applyFill="1" applyBorder="1"/>
    <xf numFmtId="2" fontId="0" fillId="2" borderId="28" xfId="4" applyNumberFormat="1" applyFont="1" applyFill="1" applyBorder="1"/>
    <xf numFmtId="1" fontId="12" fillId="3" borderId="0" xfId="0" applyNumberFormat="1" applyFont="1" applyFill="1"/>
    <xf numFmtId="2" fontId="12" fillId="2" borderId="14" xfId="0" applyNumberFormat="1" applyFont="1" applyFill="1" applyBorder="1"/>
    <xf numFmtId="166" fontId="12" fillId="2" borderId="14" xfId="0" applyNumberFormat="1" applyFont="1" applyFill="1" applyBorder="1"/>
    <xf numFmtId="2" fontId="12" fillId="2" borderId="14" xfId="4" applyNumberFormat="1" applyFont="1" applyFill="1" applyBorder="1"/>
    <xf numFmtId="2" fontId="6" fillId="2" borderId="47" xfId="4" applyNumberFormat="1" applyFont="1" applyFill="1" applyBorder="1"/>
    <xf numFmtId="2" fontId="6" fillId="2" borderId="37" xfId="4" applyNumberFormat="1" applyFont="1" applyFill="1" applyBorder="1"/>
    <xf numFmtId="10" fontId="0" fillId="3" borderId="0" xfId="4" applyNumberFormat="1" applyFont="1" applyFill="1" applyBorder="1"/>
    <xf numFmtId="10" fontId="0" fillId="3" borderId="16" xfId="4" applyNumberFormat="1" applyFont="1" applyFill="1" applyBorder="1"/>
    <xf numFmtId="2" fontId="12" fillId="2" borderId="30" xfId="0" applyNumberFormat="1" applyFont="1" applyFill="1" applyBorder="1"/>
    <xf numFmtId="10" fontId="0" fillId="2" borderId="45" xfId="4" applyNumberFormat="1" applyFont="1" applyFill="1" applyBorder="1"/>
    <xf numFmtId="0" fontId="6" fillId="0" borderId="22" xfId="0" applyFont="1" applyBorder="1"/>
    <xf numFmtId="10" fontId="0" fillId="3" borderId="13" xfId="4" applyNumberFormat="1" applyFont="1" applyFill="1" applyBorder="1"/>
    <xf numFmtId="1" fontId="0" fillId="3" borderId="13" xfId="0" applyNumberFormat="1" applyFill="1" applyBorder="1"/>
    <xf numFmtId="2" fontId="6" fillId="2" borderId="13" xfId="4" applyNumberFormat="1" applyFont="1" applyFill="1" applyBorder="1"/>
    <xf numFmtId="1" fontId="12" fillId="2" borderId="0" xfId="0" applyNumberFormat="1" applyFont="1" applyFill="1"/>
    <xf numFmtId="1" fontId="14" fillId="2" borderId="10" xfId="0" applyNumberFormat="1" applyFont="1" applyFill="1" applyBorder="1"/>
    <xf numFmtId="1" fontId="12" fillId="2" borderId="10" xfId="0" applyNumberFormat="1" applyFont="1" applyFill="1" applyBorder="1"/>
    <xf numFmtId="9" fontId="14" fillId="2" borderId="10" xfId="4" applyFont="1" applyFill="1" applyBorder="1"/>
    <xf numFmtId="0" fontId="6" fillId="0" borderId="24" xfId="0" applyFont="1" applyBorder="1"/>
    <xf numFmtId="1" fontId="6" fillId="2" borderId="4" xfId="0" applyNumberFormat="1" applyFont="1" applyFill="1" applyBorder="1"/>
    <xf numFmtId="1" fontId="6" fillId="2" borderId="29" xfId="0" applyNumberFormat="1" applyFont="1" applyFill="1" applyBorder="1"/>
    <xf numFmtId="164" fontId="0" fillId="0" borderId="26" xfId="4" applyNumberFormat="1" applyFont="1" applyBorder="1"/>
    <xf numFmtId="165" fontId="6" fillId="0" borderId="17" xfId="0" applyNumberFormat="1" applyFont="1" applyBorder="1"/>
    <xf numFmtId="10" fontId="6" fillId="0" borderId="26" xfId="0" applyNumberFormat="1" applyFont="1" applyBorder="1"/>
    <xf numFmtId="2" fontId="0" fillId="2" borderId="32" xfId="4" applyNumberFormat="1" applyFont="1" applyFill="1" applyBorder="1"/>
    <xf numFmtId="2" fontId="6" fillId="2" borderId="14" xfId="4" applyNumberFormat="1" applyFont="1" applyFill="1" applyBorder="1"/>
    <xf numFmtId="2" fontId="6" fillId="0" borderId="0" xfId="0" applyNumberFormat="1" applyFont="1"/>
    <xf numFmtId="9" fontId="0" fillId="0" borderId="16" xfId="0" applyNumberFormat="1" applyBorder="1"/>
    <xf numFmtId="2" fontId="0" fillId="0" borderId="7" xfId="0" applyNumberFormat="1" applyBorder="1"/>
    <xf numFmtId="9" fontId="12" fillId="0" borderId="0" xfId="4" applyFont="1" applyFill="1" applyBorder="1"/>
    <xf numFmtId="1" fontId="0" fillId="0" borderId="24" xfId="0" applyNumberFormat="1" applyBorder="1"/>
    <xf numFmtId="0" fontId="26" fillId="0" borderId="0" xfId="0" applyFont="1" applyAlignment="1">
      <alignment horizontal="center"/>
    </xf>
    <xf numFmtId="9" fontId="26" fillId="0" borderId="0" xfId="4" applyFont="1"/>
    <xf numFmtId="10" fontId="26" fillId="0" borderId="0" xfId="0" applyNumberFormat="1" applyFont="1"/>
    <xf numFmtId="0" fontId="27" fillId="0" borderId="0" xfId="5"/>
    <xf numFmtId="1" fontId="6" fillId="0" borderId="26" xfId="0" applyNumberFormat="1" applyFont="1" applyBorder="1"/>
    <xf numFmtId="2" fontId="6" fillId="0" borderId="26" xfId="0" applyNumberFormat="1" applyFont="1" applyBorder="1"/>
    <xf numFmtId="0" fontId="12" fillId="0" borderId="26" xfId="0" applyFont="1" applyBorder="1"/>
    <xf numFmtId="0" fontId="6" fillId="0" borderId="39" xfId="0" applyFont="1" applyBorder="1"/>
    <xf numFmtId="0" fontId="6" fillId="0" borderId="25" xfId="0" applyFont="1" applyBorder="1"/>
    <xf numFmtId="9" fontId="26" fillId="0" borderId="26" xfId="0" applyNumberFormat="1" applyFont="1" applyBorder="1"/>
    <xf numFmtId="10" fontId="26" fillId="0" borderId="26" xfId="0" applyNumberFormat="1" applyFont="1" applyBorder="1"/>
    <xf numFmtId="1" fontId="0" fillId="2" borderId="48" xfId="0" applyNumberFormat="1" applyFill="1" applyBorder="1"/>
    <xf numFmtId="164" fontId="0" fillId="0" borderId="0" xfId="0" applyNumberFormat="1"/>
    <xf numFmtId="164" fontId="0" fillId="0" borderId="4" xfId="0" applyNumberFormat="1" applyBorder="1"/>
    <xf numFmtId="1" fontId="0" fillId="2" borderId="30" xfId="0" applyNumberFormat="1" applyFill="1" applyBorder="1"/>
    <xf numFmtId="0" fontId="6" fillId="3" borderId="22" xfId="0" applyFont="1" applyFill="1" applyBorder="1"/>
    <xf numFmtId="2" fontId="6" fillId="2" borderId="46" xfId="0" applyNumberFormat="1" applyFont="1" applyFill="1" applyBorder="1"/>
    <xf numFmtId="0" fontId="6" fillId="0" borderId="40" xfId="0" applyFont="1" applyBorder="1"/>
    <xf numFmtId="2" fontId="6" fillId="0" borderId="23" xfId="0" applyNumberFormat="1" applyFont="1" applyBorder="1"/>
    <xf numFmtId="2" fontId="0" fillId="0" borderId="44" xfId="0" applyNumberFormat="1" applyBorder="1"/>
    <xf numFmtId="2" fontId="0" fillId="0" borderId="43" xfId="0" applyNumberFormat="1" applyBorder="1"/>
    <xf numFmtId="1" fontId="0" fillId="0" borderId="43" xfId="0" applyNumberFormat="1" applyBorder="1"/>
    <xf numFmtId="0" fontId="0" fillId="0" borderId="40" xfId="0" applyBorder="1"/>
    <xf numFmtId="1" fontId="0" fillId="0" borderId="44" xfId="0" applyNumberFormat="1" applyBorder="1"/>
    <xf numFmtId="1" fontId="6" fillId="2" borderId="5" xfId="0" applyNumberFormat="1" applyFont="1" applyFill="1" applyBorder="1"/>
    <xf numFmtId="9" fontId="0" fillId="2" borderId="49" xfId="0" applyNumberFormat="1" applyFill="1" applyBorder="1"/>
    <xf numFmtId="1" fontId="0" fillId="2" borderId="14" xfId="4" applyNumberFormat="1" applyFont="1" applyFill="1" applyBorder="1"/>
    <xf numFmtId="9" fontId="26" fillId="0" borderId="43" xfId="0" applyNumberFormat="1" applyFont="1" applyBorder="1"/>
    <xf numFmtId="10" fontId="26" fillId="0" borderId="0" xfId="4" applyNumberFormat="1" applyFont="1"/>
    <xf numFmtId="10" fontId="28" fillId="0" borderId="26" xfId="4" applyNumberFormat="1" applyFont="1" applyBorder="1"/>
    <xf numFmtId="10" fontId="28" fillId="0" borderId="26" xfId="0" applyNumberFormat="1" applyFont="1" applyBorder="1"/>
    <xf numFmtId="1" fontId="6" fillId="2" borderId="42" xfId="0" applyNumberFormat="1" applyFont="1" applyFill="1" applyBorder="1"/>
    <xf numFmtId="1" fontId="0" fillId="3" borderId="6" xfId="0" applyNumberFormat="1" applyFill="1" applyBorder="1"/>
    <xf numFmtId="1" fontId="0" fillId="3" borderId="23" xfId="0" applyNumberFormat="1" applyFill="1" applyBorder="1"/>
    <xf numFmtId="1" fontId="6" fillId="0" borderId="39" xfId="0" applyNumberFormat="1" applyFont="1" applyBorder="1"/>
    <xf numFmtId="9" fontId="0" fillId="2" borderId="50" xfId="4" applyFont="1" applyFill="1" applyBorder="1"/>
    <xf numFmtId="9" fontId="0" fillId="2" borderId="34" xfId="4" applyFont="1" applyFill="1" applyBorder="1"/>
    <xf numFmtId="9" fontId="0" fillId="2" borderId="35" xfId="4" applyFont="1" applyFill="1" applyBorder="1"/>
    <xf numFmtId="1" fontId="0" fillId="2" borderId="51" xfId="0" applyNumberFormat="1" applyFill="1" applyBorder="1"/>
    <xf numFmtId="1" fontId="0" fillId="2" borderId="52" xfId="0" applyNumberFormat="1" applyFill="1" applyBorder="1"/>
    <xf numFmtId="1" fontId="0" fillId="2" borderId="34" xfId="0" applyNumberFormat="1" applyFill="1" applyBorder="1"/>
    <xf numFmtId="1" fontId="0" fillId="2" borderId="35" xfId="0" applyNumberFormat="1" applyFill="1" applyBorder="1"/>
    <xf numFmtId="1" fontId="0" fillId="0" borderId="3" xfId="0" applyNumberFormat="1" applyBorder="1"/>
    <xf numFmtId="9" fontId="0" fillId="0" borderId="0" xfId="4" applyFont="1" applyFill="1" applyBorder="1"/>
    <xf numFmtId="9" fontId="0" fillId="2" borderId="51" xfId="4" applyFont="1" applyFill="1" applyBorder="1"/>
    <xf numFmtId="9" fontId="0" fillId="2" borderId="52" xfId="4" applyFont="1" applyFill="1" applyBorder="1"/>
    <xf numFmtId="9" fontId="0" fillId="2" borderId="37" xfId="4" applyFont="1" applyFill="1" applyBorder="1"/>
    <xf numFmtId="9" fontId="0" fillId="2" borderId="38" xfId="4" applyFont="1" applyFill="1" applyBorder="1"/>
    <xf numFmtId="1" fontId="6" fillId="0" borderId="43" xfId="0" applyNumberFormat="1" applyFont="1" applyBorder="1"/>
    <xf numFmtId="9" fontId="14" fillId="2" borderId="14" xfId="0" applyNumberFormat="1" applyFont="1" applyFill="1" applyBorder="1"/>
    <xf numFmtId="1" fontId="0" fillId="2" borderId="28" xfId="4" applyNumberFormat="1" applyFont="1" applyFill="1" applyBorder="1"/>
    <xf numFmtId="1" fontId="12" fillId="0" borderId="7" xfId="0" applyNumberFormat="1" applyFont="1" applyBorder="1"/>
    <xf numFmtId="1" fontId="6" fillId="2" borderId="51" xfId="0" applyNumberFormat="1" applyFont="1" applyFill="1" applyBorder="1"/>
    <xf numFmtId="10" fontId="6" fillId="2" borderId="51" xfId="4" applyNumberFormat="1" applyFont="1" applyFill="1" applyBorder="1"/>
    <xf numFmtId="10" fontId="0" fillId="2" borderId="51" xfId="4" applyNumberFormat="1" applyFont="1" applyFill="1" applyBorder="1"/>
    <xf numFmtId="1" fontId="19" fillId="2" borderId="14" xfId="0" applyNumberFormat="1" applyFont="1" applyFill="1" applyBorder="1"/>
    <xf numFmtId="9" fontId="26" fillId="0" borderId="0" xfId="4" applyFont="1" applyFill="1"/>
    <xf numFmtId="165" fontId="19" fillId="0" borderId="3" xfId="0" applyNumberFormat="1" applyFont="1" applyBorder="1"/>
    <xf numFmtId="2" fontId="0" fillId="2" borderId="0" xfId="4" applyNumberFormat="1" applyFont="1" applyFill="1" applyBorder="1"/>
    <xf numFmtId="9" fontId="6" fillId="0" borderId="0" xfId="0" applyNumberFormat="1" applyFont="1"/>
    <xf numFmtId="9" fontId="26" fillId="0" borderId="25" xfId="0" applyNumberFormat="1" applyFont="1" applyBorder="1"/>
    <xf numFmtId="9" fontId="26" fillId="2" borderId="14" xfId="4" applyFont="1" applyFill="1" applyBorder="1"/>
    <xf numFmtId="9" fontId="26" fillId="2" borderId="32" xfId="4" applyFont="1" applyFill="1" applyBorder="1"/>
    <xf numFmtId="9" fontId="28" fillId="0" borderId="16" xfId="0" applyNumberFormat="1" applyFont="1" applyBorder="1"/>
    <xf numFmtId="9" fontId="6" fillId="0" borderId="6" xfId="0" applyNumberFormat="1" applyFont="1" applyBorder="1"/>
    <xf numFmtId="9" fontId="6" fillId="0" borderId="4" xfId="0" applyNumberFormat="1" applyFont="1" applyBorder="1"/>
    <xf numFmtId="10" fontId="26" fillId="2" borderId="34" xfId="4" applyNumberFormat="1" applyFont="1" applyFill="1" applyBorder="1"/>
    <xf numFmtId="10" fontId="26" fillId="2" borderId="35" xfId="4" applyNumberFormat="1" applyFont="1" applyFill="1" applyBorder="1"/>
    <xf numFmtId="2" fontId="6" fillId="2" borderId="53" xfId="4" applyNumberFormat="1" applyFont="1" applyFill="1" applyBorder="1"/>
    <xf numFmtId="2" fontId="6" fillId="2" borderId="54" xfId="4" applyNumberFormat="1" applyFont="1" applyFill="1" applyBorder="1"/>
    <xf numFmtId="2" fontId="6" fillId="2" borderId="55" xfId="4" applyNumberFormat="1" applyFont="1" applyFill="1" applyBorder="1"/>
    <xf numFmtId="2" fontId="16" fillId="2" borderId="14" xfId="4" applyNumberFormat="1" applyFont="1" applyFill="1" applyBorder="1"/>
    <xf numFmtId="2" fontId="16" fillId="2" borderId="32" xfId="4" applyNumberFormat="1" applyFont="1" applyFill="1" applyBorder="1"/>
    <xf numFmtId="9" fontId="26" fillId="6" borderId="0" xfId="4" applyFont="1" applyFill="1" applyBorder="1"/>
    <xf numFmtId="0" fontId="0" fillId="6" borderId="0" xfId="0" applyFill="1"/>
    <xf numFmtId="10" fontId="26" fillId="6" borderId="4" xfId="4" applyNumberFormat="1" applyFont="1" applyFill="1" applyBorder="1"/>
    <xf numFmtId="2" fontId="0" fillId="2" borderId="14" xfId="0" applyNumberFormat="1" applyFill="1" applyBorder="1" applyAlignment="1">
      <alignment horizontal="right"/>
    </xf>
    <xf numFmtId="1" fontId="0" fillId="0" borderId="5" xfId="0" applyNumberFormat="1" applyBorder="1"/>
    <xf numFmtId="1" fontId="12" fillId="2" borderId="28" xfId="4" applyNumberFormat="1" applyFont="1" applyFill="1" applyBorder="1"/>
    <xf numFmtId="1" fontId="6" fillId="0" borderId="0" xfId="0" applyNumberFormat="1" applyFont="1" applyAlignment="1">
      <alignment horizontal="center"/>
    </xf>
    <xf numFmtId="0" fontId="6" fillId="7" borderId="39" xfId="0" applyFont="1" applyFill="1" applyBorder="1"/>
    <xf numFmtId="0" fontId="0" fillId="7" borderId="0" xfId="0" applyFill="1"/>
    <xf numFmtId="1" fontId="0" fillId="7" borderId="0" xfId="0" applyNumberFormat="1" applyFill="1"/>
    <xf numFmtId="1" fontId="6" fillId="7" borderId="0" xfId="0" applyNumberFormat="1" applyFont="1" applyFill="1"/>
    <xf numFmtId="0" fontId="6" fillId="8" borderId="7" xfId="0" applyFont="1" applyFill="1" applyBorder="1"/>
    <xf numFmtId="0" fontId="0" fillId="8" borderId="0" xfId="0" applyFill="1"/>
    <xf numFmtId="1" fontId="0" fillId="8" borderId="0" xfId="0" applyNumberFormat="1" applyFill="1"/>
    <xf numFmtId="0" fontId="0" fillId="8" borderId="7" xfId="0" applyFill="1" applyBorder="1"/>
    <xf numFmtId="2" fontId="14" fillId="8" borderId="28" xfId="0" applyNumberFormat="1" applyFont="1" applyFill="1" applyBorder="1"/>
    <xf numFmtId="0" fontId="0" fillId="8" borderId="39" xfId="0" applyFill="1" applyBorder="1"/>
    <xf numFmtId="9" fontId="0" fillId="8" borderId="26" xfId="0" applyNumberFormat="1" applyFill="1" applyBorder="1"/>
    <xf numFmtId="9" fontId="0" fillId="8" borderId="0" xfId="4" applyFont="1" applyFill="1"/>
    <xf numFmtId="2" fontId="0" fillId="8" borderId="0" xfId="4" applyNumberFormat="1" applyFont="1" applyFill="1"/>
    <xf numFmtId="2" fontId="0" fillId="2" borderId="43" xfId="4" applyNumberFormat="1" applyFont="1" applyFill="1" applyBorder="1"/>
    <xf numFmtId="2" fontId="6" fillId="2" borderId="32" xfId="4" applyNumberFormat="1" applyFont="1" applyFill="1" applyBorder="1"/>
    <xf numFmtId="0" fontId="17" fillId="0" borderId="40" xfId="0" applyFont="1" applyBorder="1"/>
    <xf numFmtId="10" fontId="12" fillId="2" borderId="43" xfId="4" applyNumberFormat="1" applyFont="1" applyFill="1" applyBorder="1"/>
    <xf numFmtId="10" fontId="0" fillId="2" borderId="32" xfId="4" applyNumberFormat="1" applyFont="1" applyFill="1" applyBorder="1"/>
    <xf numFmtId="10" fontId="6" fillId="2" borderId="4" xfId="4" applyNumberFormat="1" applyFont="1" applyFill="1" applyBorder="1"/>
    <xf numFmtId="10" fontId="6" fillId="2" borderId="44" xfId="4" applyNumberFormat="1" applyFont="1" applyFill="1" applyBorder="1"/>
    <xf numFmtId="9" fontId="0" fillId="0" borderId="43" xfId="0" applyNumberFormat="1" applyBorder="1"/>
    <xf numFmtId="0" fontId="0" fillId="4" borderId="0" xfId="0" applyFill="1"/>
    <xf numFmtId="9" fontId="0" fillId="0" borderId="44" xfId="0" applyNumberFormat="1" applyBorder="1"/>
    <xf numFmtId="1" fontId="17" fillId="0" borderId="40" xfId="0" applyNumberFormat="1" applyFont="1" applyBorder="1"/>
    <xf numFmtId="8" fontId="0" fillId="0" borderId="0" xfId="0" applyNumberFormat="1"/>
    <xf numFmtId="1" fontId="19" fillId="0" borderId="0" xfId="0" applyNumberFormat="1" applyFont="1"/>
    <xf numFmtId="0" fontId="29" fillId="0" borderId="0" xfId="0" applyFont="1"/>
    <xf numFmtId="2" fontId="29" fillId="0" borderId="0" xfId="0" applyNumberFormat="1" applyFont="1"/>
    <xf numFmtId="164" fontId="0" fillId="0" borderId="0" xfId="4" applyNumberFormat="1" applyFont="1"/>
    <xf numFmtId="9" fontId="6" fillId="0" borderId="26" xfId="4" applyFont="1" applyBorder="1"/>
  </cellXfs>
  <cellStyles count="6">
    <cellStyle name="Comma" xfId="3" builtinId="3"/>
    <cellStyle name="Heading 2" xfId="1" builtinId="17"/>
    <cellStyle name="Heading 3" xfId="2" builtinId="18"/>
    <cellStyle name="Hyperlink" xfId="5" builtinId="8"/>
    <cellStyle name="Normal" xfId="0" builtinId="0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Hensoldt AG Revenue Breakdown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BF7-664E-8F7A-37B4F6191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F7-664E-8F7A-37B4F6191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'Competitors KPI''s'!$B$57:$B$58</c:f>
              <c:strCache>
                <c:ptCount val="2"/>
                <c:pt idx="0">
                  <c:v>Sensors</c:v>
                </c:pt>
                <c:pt idx="1">
                  <c:v>Optronics</c:v>
                </c:pt>
              </c:strCache>
            </c:strRef>
          </c:cat>
          <c:val>
            <c:numRef>
              <c:f>'Competitors KPI''s'!$C$57:$C$58</c:f>
              <c:numCache>
                <c:formatCode>General</c:formatCode>
                <c:ptCount val="2"/>
                <c:pt idx="0">
                  <c:v>1910</c:v>
                </c:pt>
                <c:pt idx="1">
                  <c:v>334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'Competitors KPI''s'!#REF!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BF7-664E-8F7A-37B4F619193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Breakdown of Revenue by Locations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'Competitors KPI''s'!$C$62</c:f>
              <c:strCache>
                <c:ptCount val="1"/>
                <c:pt idx="0">
                  <c:v>Geographic Locations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33-B84F-BCEE-E596702547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C33-B84F-BCEE-E596702547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33-B84F-BCEE-E596702547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C33-B84F-BCEE-E596702547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33-B84F-BCEE-E596702547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C33-B84F-BCEE-E596702547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33-B84F-BCEE-E5967025472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33-B84F-BCEE-E5967025472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33-B84F-BCEE-E5967025472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33-B84F-BCEE-E5967025472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33-B84F-BCEE-E5967025472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33-B84F-BCEE-E59670254723}"/>
                </c:ext>
              </c:extLst>
            </c:dLbl>
            <c:dLbl>
              <c:idx val="5"/>
              <c:layout>
                <c:manualLayout>
                  <c:x val="4.9333764635918993E-2"/>
                  <c:y val="-2.0815338445930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33-B84F-BCEE-E5967025472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33-B84F-BCEE-E596702547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'Competitors KPI''s'!$B$63:$B$69</c:f>
              <c:strCache>
                <c:ptCount val="6"/>
                <c:pt idx="0">
                  <c:v>Germany</c:v>
                </c:pt>
                <c:pt idx="1">
                  <c:v>Europe (excluding Germany)</c:v>
                </c:pt>
                <c:pt idx="2">
                  <c:v>Middle East</c:v>
                </c:pt>
                <c:pt idx="3">
                  <c:v>APAC</c:v>
                </c:pt>
                <c:pt idx="4">
                  <c:v>North &amp; South America</c:v>
                </c:pt>
                <c:pt idx="5">
                  <c:v>Africa</c:v>
                </c:pt>
              </c:strCache>
            </c:strRef>
          </c:cat>
          <c:val>
            <c:numRef>
              <c:f>'Competitors KPI''s'!$C$63:$C$69</c:f>
              <c:numCache>
                <c:formatCode>General</c:formatCode>
                <c:ptCount val="7"/>
                <c:pt idx="0">
                  <c:v>1280</c:v>
                </c:pt>
                <c:pt idx="1">
                  <c:v>684</c:v>
                </c:pt>
                <c:pt idx="2">
                  <c:v>83</c:v>
                </c:pt>
                <c:pt idx="3">
                  <c:v>78</c:v>
                </c:pt>
                <c:pt idx="4">
                  <c:v>65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3-B84F-BCEE-E5967025472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_xlchart.v5.2</cx:f>
      </cx:strDim>
      <cx:numDim type="val">
        <cx:f dir="row">_xlchart.v5.0</cx:f>
      </cx:numDim>
    </cx:data>
    <cx:data id="1">
      <cx:strDim type="cat">
        <cx:f dir="row">_xlchart.v5.2</cx:f>
      </cx:strDim>
      <cx:numDim type="val">
        <cx:f dir="row">_xlchart.v5.1</cx:f>
      </cx:numDim>
    </cx:data>
  </cx:chartData>
  <cx:chart>
    <cx:title pos="t" align="ctr" overlay="0">
      <cx:tx>
        <cx:txData>
          <cx:v>Unlevered Free Cashflow HAG (Realistic scenario)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Unlevered Free Cashflow HAG (Realistic scenario) </a:t>
          </a:r>
        </a:p>
      </cx:txPr>
    </cx:title>
    <cx:plotArea>
      <cx:plotAreaRegion>
        <cx:series layoutId="waterfall" uniqueId="{84FFBA59-944F-9B45-A826-41B94FF2527E}" formatIdx="0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GB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  <cx:series layoutId="waterfall" hidden="1" uniqueId="{00000003-7DFD-9F49-94D0-61CAEBFC0CF1}" formatIdx="1">
          <cx:dataId val="1"/>
          <cx:layoutPr>
            <cx:subtotals/>
          </cx:layoutPr>
        </cx:series>
      </cx:plotAreaRegion>
      <cx:axis id="0">
        <cx:catScaling gapWidth="0.5"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tickLabels/>
        <cx:numFmt formatCode="TT.MM.JJ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GB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FCF in Euro Millions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FCF in Euro Millions</a:t>
              </a:r>
            </a:p>
          </cx:txPr>
        </cx:title>
        <cx:majorGridlines/>
        <cx:tickLabels/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fmtOvrs>
    <cx:fmtOvr idx="2">
      <cx:spPr>
        <a:solidFill>
          <a:schemeClr val="bg1">
            <a:lumMod val="65000"/>
          </a:schemeClr>
        </a:solidFill>
      </cx:spPr>
    </cx:fmtOvr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21</xdr:row>
      <xdr:rowOff>171450</xdr:rowOff>
    </xdr:from>
    <xdr:to>
      <xdr:col>21</xdr:col>
      <xdr:colOff>254000</xdr:colOff>
      <xdr:row>51</xdr:row>
      <xdr:rowOff>12700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E513D6D-AFA9-F13D-9AFC-73616E4C7E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000" y="4578350"/>
              <a:ext cx="7874000" cy="593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1000263</xdr:colOff>
      <xdr:row>74</xdr:row>
      <xdr:rowOff>166481</xdr:rowOff>
    </xdr:from>
    <xdr:to>
      <xdr:col>13</xdr:col>
      <xdr:colOff>13804</xdr:colOff>
      <xdr:row>107</xdr:row>
      <xdr:rowOff>55218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C6147-0E49-57C1-0260-895CC0ADC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2167282</xdr:colOff>
      <xdr:row>74</xdr:row>
      <xdr:rowOff>163168</xdr:rowOff>
    </xdr:from>
    <xdr:to>
      <xdr:col>6</xdr:col>
      <xdr:colOff>971826</xdr:colOff>
      <xdr:row>107</xdr:row>
      <xdr:rowOff>41413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359165-3C8B-34AF-B80A-47648A564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8F56-33CC-5047-8691-53FD0953C9E7}">
  <dimension ref="B2:L29"/>
  <sheetViews>
    <sheetView showGridLines="0" tabSelected="1" workbookViewId="0">
      <selection activeCell="F13" sqref="F13"/>
    </sheetView>
  </sheetViews>
  <sheetFormatPr baseColWidth="10" defaultRowHeight="16" x14ac:dyDescent="0.2"/>
  <cols>
    <col min="8" max="17" width="11.5" bestFit="1" customWidth="1"/>
  </cols>
  <sheetData>
    <row r="2" spans="2:12" ht="28" thickBot="1" x14ac:dyDescent="0.4">
      <c r="B2" s="18" t="s">
        <v>37</v>
      </c>
      <c r="C2" s="18"/>
      <c r="D2" s="18"/>
      <c r="E2" s="18"/>
      <c r="F2" s="18"/>
    </row>
    <row r="5" spans="2:12" x14ac:dyDescent="0.2">
      <c r="B5" s="13" t="s">
        <v>650</v>
      </c>
    </row>
    <row r="7" spans="2:12" x14ac:dyDescent="0.2">
      <c r="B7" t="s">
        <v>651</v>
      </c>
      <c r="H7" s="13" t="s">
        <v>635</v>
      </c>
      <c r="J7" s="288">
        <f ca="1">'DCF Valuation '!E44</f>
        <v>61.208703661302422</v>
      </c>
      <c r="K7" t="s">
        <v>631</v>
      </c>
      <c r="L7" t="s">
        <v>632</v>
      </c>
    </row>
    <row r="9" spans="2:12" x14ac:dyDescent="0.2">
      <c r="B9" t="s">
        <v>652</v>
      </c>
      <c r="H9" s="13" t="s">
        <v>634</v>
      </c>
      <c r="I9" s="13"/>
      <c r="J9" s="288">
        <f ca="1">'DCF Valuation '!K44</f>
        <v>48.726513098132116</v>
      </c>
      <c r="K9" t="s">
        <v>631</v>
      </c>
      <c r="L9" t="s">
        <v>633</v>
      </c>
    </row>
    <row r="11" spans="2:12" x14ac:dyDescent="0.2">
      <c r="B11" t="s">
        <v>653</v>
      </c>
    </row>
    <row r="12" spans="2:12" x14ac:dyDescent="0.2">
      <c r="H12" s="13" t="s">
        <v>844</v>
      </c>
      <c r="J12" s="176">
        <v>85.4</v>
      </c>
      <c r="K12" t="s">
        <v>631</v>
      </c>
    </row>
    <row r="13" spans="2:12" x14ac:dyDescent="0.2">
      <c r="B13" t="s">
        <v>654</v>
      </c>
    </row>
    <row r="14" spans="2:12" x14ac:dyDescent="0.2">
      <c r="H14" s="13" t="s">
        <v>845</v>
      </c>
      <c r="J14" s="392">
        <f ca="1">(J7-J12)/J7</f>
        <v>-0.39522641212203763</v>
      </c>
    </row>
    <row r="15" spans="2:12" x14ac:dyDescent="0.2">
      <c r="B15" s="13" t="s">
        <v>656</v>
      </c>
    </row>
    <row r="16" spans="2:12" x14ac:dyDescent="0.2">
      <c r="H16" s="13" t="s">
        <v>846</v>
      </c>
      <c r="J16" s="392">
        <f ca="1">(J9-J12)/J9</f>
        <v>-0.75263926290005212</v>
      </c>
    </row>
    <row r="17" spans="2:10" x14ac:dyDescent="0.2">
      <c r="B17" t="s">
        <v>655</v>
      </c>
    </row>
    <row r="19" spans="2:10" x14ac:dyDescent="0.2">
      <c r="B19" t="s">
        <v>657</v>
      </c>
    </row>
    <row r="20" spans="2:10" x14ac:dyDescent="0.2">
      <c r="H20" s="83" t="s">
        <v>206</v>
      </c>
      <c r="I20" s="84"/>
      <c r="J20" s="85"/>
    </row>
    <row r="21" spans="2:10" x14ac:dyDescent="0.2">
      <c r="B21" t="s">
        <v>658</v>
      </c>
      <c r="H21" s="88" t="s">
        <v>207</v>
      </c>
      <c r="J21" s="36"/>
    </row>
    <row r="22" spans="2:10" x14ac:dyDescent="0.2">
      <c r="H22" s="89" t="s">
        <v>208</v>
      </c>
      <c r="J22" s="36"/>
    </row>
    <row r="23" spans="2:10" x14ac:dyDescent="0.2">
      <c r="B23" t="s">
        <v>659</v>
      </c>
      <c r="H23" s="32" t="s">
        <v>209</v>
      </c>
      <c r="J23" s="36"/>
    </row>
    <row r="24" spans="2:10" x14ac:dyDescent="0.2">
      <c r="H24" s="90" t="s">
        <v>210</v>
      </c>
      <c r="J24" s="36"/>
    </row>
    <row r="25" spans="2:10" x14ac:dyDescent="0.2">
      <c r="B25" s="13" t="s">
        <v>660</v>
      </c>
      <c r="H25" s="91" t="s">
        <v>211</v>
      </c>
      <c r="I25" s="22"/>
      <c r="J25" s="87"/>
    </row>
    <row r="27" spans="2:10" x14ac:dyDescent="0.2">
      <c r="B27" t="s">
        <v>661</v>
      </c>
    </row>
    <row r="29" spans="2:10" x14ac:dyDescent="0.2">
      <c r="B29" t="s">
        <v>662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193D-EBB5-024C-BCFF-A9BA96A30060}">
  <dimension ref="A1:AC24"/>
  <sheetViews>
    <sheetView showGridLines="0" workbookViewId="0">
      <selection activeCell="P13" sqref="P13"/>
    </sheetView>
  </sheetViews>
  <sheetFormatPr baseColWidth="10" defaultRowHeight="16" x14ac:dyDescent="0.2"/>
  <cols>
    <col min="1" max="1" width="4" customWidth="1"/>
    <col min="2" max="2" width="21.1640625" bestFit="1" customWidth="1"/>
    <col min="3" max="3" width="14.1640625" customWidth="1"/>
    <col min="25" max="25" width="14" customWidth="1"/>
  </cols>
  <sheetData>
    <row r="1" spans="1:29" ht="19" thickBot="1" x14ac:dyDescent="0.3">
      <c r="B1" s="1" t="str">
        <f>_xlfn.CONCAT(C7, " - ", "Inputs -", " In", " ", C9, " ", C10)</f>
        <v>HAG - Inputs - In Euro millions</v>
      </c>
      <c r="C1" s="1"/>
    </row>
    <row r="2" spans="1:29" ht="17" thickTop="1" x14ac:dyDescent="0.2"/>
    <row r="4" spans="1:29" ht="17" thickBot="1" x14ac:dyDescent="0.25">
      <c r="A4" s="2" t="s">
        <v>0</v>
      </c>
      <c r="B4" s="2"/>
      <c r="C4" s="2"/>
    </row>
    <row r="5" spans="1:29" x14ac:dyDescent="0.2">
      <c r="E5" s="13" t="s">
        <v>685</v>
      </c>
      <c r="H5" s="13" t="s">
        <v>663</v>
      </c>
      <c r="K5" s="13" t="s">
        <v>664</v>
      </c>
      <c r="P5" s="13" t="s">
        <v>666</v>
      </c>
      <c r="T5" s="13" t="s">
        <v>665</v>
      </c>
      <c r="Y5" s="13" t="s">
        <v>667</v>
      </c>
      <c r="AC5" s="13" t="s">
        <v>670</v>
      </c>
    </row>
    <row r="6" spans="1:29" x14ac:dyDescent="0.2">
      <c r="B6" s="3" t="s">
        <v>1</v>
      </c>
      <c r="C6" s="4" t="s">
        <v>7</v>
      </c>
      <c r="E6" t="s">
        <v>686</v>
      </c>
    </row>
    <row r="7" spans="1:29" x14ac:dyDescent="0.2">
      <c r="B7" s="3" t="s">
        <v>2</v>
      </c>
      <c r="C7" s="4" t="s">
        <v>131</v>
      </c>
      <c r="E7" t="s">
        <v>687</v>
      </c>
      <c r="K7" s="13" t="s">
        <v>344</v>
      </c>
      <c r="N7" s="176">
        <v>3</v>
      </c>
      <c r="P7" s="13" t="s">
        <v>356</v>
      </c>
      <c r="R7" s="176">
        <v>3</v>
      </c>
      <c r="T7" s="20" t="s">
        <v>361</v>
      </c>
      <c r="U7" s="16"/>
      <c r="V7" s="16"/>
      <c r="W7" s="176">
        <v>3</v>
      </c>
      <c r="Y7" s="13" t="s">
        <v>284</v>
      </c>
      <c r="AA7" s="62">
        <v>1</v>
      </c>
    </row>
    <row r="8" spans="1:29" x14ac:dyDescent="0.2">
      <c r="B8" s="3" t="s">
        <v>3</v>
      </c>
      <c r="C8" s="5">
        <v>45657</v>
      </c>
      <c r="E8" t="s">
        <v>688</v>
      </c>
      <c r="K8" s="13" t="s">
        <v>345</v>
      </c>
      <c r="N8" s="176">
        <v>3</v>
      </c>
      <c r="P8" s="13" t="s">
        <v>357</v>
      </c>
      <c r="R8" s="176">
        <v>3</v>
      </c>
      <c r="T8" s="16"/>
      <c r="U8" s="16"/>
      <c r="V8" s="16"/>
      <c r="W8" s="176"/>
      <c r="Y8" s="13" t="s">
        <v>283</v>
      </c>
      <c r="AA8" s="62">
        <v>1</v>
      </c>
      <c r="AB8" s="8" t="s">
        <v>773</v>
      </c>
      <c r="AC8" s="62">
        <v>2</v>
      </c>
    </row>
    <row r="9" spans="1:29" x14ac:dyDescent="0.2">
      <c r="B9" s="3" t="s">
        <v>4</v>
      </c>
      <c r="C9" s="4" t="s">
        <v>8</v>
      </c>
      <c r="E9" t="s">
        <v>689</v>
      </c>
      <c r="K9" s="13" t="s">
        <v>178</v>
      </c>
      <c r="N9" s="176">
        <v>3</v>
      </c>
      <c r="P9" s="13" t="s">
        <v>358</v>
      </c>
      <c r="R9" s="176">
        <v>3</v>
      </c>
      <c r="T9" s="20" t="s">
        <v>465</v>
      </c>
      <c r="U9" s="16"/>
      <c r="V9" s="16"/>
      <c r="W9" s="176">
        <v>3</v>
      </c>
      <c r="Y9" s="13" t="s">
        <v>285</v>
      </c>
      <c r="AA9" s="133">
        <v>2</v>
      </c>
    </row>
    <row r="10" spans="1:29" x14ac:dyDescent="0.2">
      <c r="B10" s="3" t="s">
        <v>5</v>
      </c>
      <c r="C10" s="4" t="s">
        <v>6</v>
      </c>
      <c r="K10" s="13" t="s">
        <v>194</v>
      </c>
      <c r="N10" s="176">
        <v>4</v>
      </c>
      <c r="T10" s="20" t="s">
        <v>372</v>
      </c>
      <c r="U10" s="16"/>
      <c r="V10" s="16"/>
      <c r="W10" s="176">
        <v>3</v>
      </c>
      <c r="Y10" s="13" t="s">
        <v>314</v>
      </c>
      <c r="AA10" s="62">
        <v>2</v>
      </c>
    </row>
    <row r="11" spans="1:29" x14ac:dyDescent="0.2">
      <c r="K11" s="13" t="s">
        <v>186</v>
      </c>
      <c r="N11" s="176">
        <v>3</v>
      </c>
      <c r="T11" s="20" t="s">
        <v>467</v>
      </c>
      <c r="U11" s="16"/>
      <c r="V11" s="16"/>
      <c r="W11" s="176">
        <v>3</v>
      </c>
      <c r="Y11" s="13" t="s">
        <v>316</v>
      </c>
      <c r="AA11" s="62">
        <v>4</v>
      </c>
    </row>
    <row r="12" spans="1:29" x14ac:dyDescent="0.2">
      <c r="K12" s="13" t="s">
        <v>192</v>
      </c>
      <c r="N12" s="176">
        <v>3</v>
      </c>
      <c r="T12" s="20" t="s">
        <v>468</v>
      </c>
      <c r="U12" s="16"/>
      <c r="V12" s="16"/>
      <c r="W12" s="176">
        <v>3</v>
      </c>
    </row>
    <row r="13" spans="1:29" x14ac:dyDescent="0.2">
      <c r="B13" s="13" t="s">
        <v>635</v>
      </c>
      <c r="C13" s="288">
        <f ca="1">'DCF Valuation '!E44</f>
        <v>61.208703661302422</v>
      </c>
      <c r="D13" t="s">
        <v>631</v>
      </c>
      <c r="E13" t="s">
        <v>632</v>
      </c>
      <c r="K13" s="13" t="s">
        <v>346</v>
      </c>
      <c r="N13" s="176">
        <v>3</v>
      </c>
      <c r="T13" s="16"/>
      <c r="U13" s="16"/>
      <c r="V13" s="16"/>
      <c r="W13" s="176"/>
      <c r="Y13" s="13" t="s">
        <v>291</v>
      </c>
      <c r="AA13" s="288">
        <v>2</v>
      </c>
    </row>
    <row r="14" spans="1:29" x14ac:dyDescent="0.2">
      <c r="T14" s="20" t="s">
        <v>132</v>
      </c>
      <c r="U14" s="16"/>
      <c r="V14" s="16"/>
      <c r="W14" s="176">
        <v>3</v>
      </c>
      <c r="Y14" s="13" t="s">
        <v>476</v>
      </c>
      <c r="AA14" s="62">
        <v>1</v>
      </c>
    </row>
    <row r="15" spans="1:29" x14ac:dyDescent="0.2">
      <c r="B15" s="13" t="s">
        <v>634</v>
      </c>
      <c r="C15" s="288">
        <f ca="1">'DCF Valuation '!K44</f>
        <v>48.726513098132116</v>
      </c>
      <c r="D15" t="s">
        <v>631</v>
      </c>
      <c r="E15" t="s">
        <v>633</v>
      </c>
      <c r="T15" s="20" t="s">
        <v>394</v>
      </c>
      <c r="U15" s="16"/>
      <c r="V15" s="16"/>
      <c r="W15" s="176">
        <v>3</v>
      </c>
      <c r="Y15" s="13" t="s">
        <v>583</v>
      </c>
      <c r="AA15" s="292">
        <v>0.3</v>
      </c>
    </row>
    <row r="16" spans="1:29" x14ac:dyDescent="0.2">
      <c r="T16" s="20" t="s">
        <v>588</v>
      </c>
      <c r="U16" s="16"/>
      <c r="V16" s="16"/>
      <c r="W16" s="176">
        <v>2</v>
      </c>
      <c r="Y16" s="13" t="s">
        <v>668</v>
      </c>
      <c r="AA16" s="293">
        <v>2.8299999999999999E-2</v>
      </c>
    </row>
    <row r="17" spans="4:27" x14ac:dyDescent="0.2">
      <c r="Y17" s="13" t="s">
        <v>669</v>
      </c>
      <c r="AA17" s="293">
        <v>1.7500000000000002E-2</v>
      </c>
    </row>
    <row r="18" spans="4:27" x14ac:dyDescent="0.2">
      <c r="Y18" s="13" t="s">
        <v>734</v>
      </c>
      <c r="AA18" s="109">
        <v>0.3</v>
      </c>
    </row>
    <row r="21" spans="4:27" x14ac:dyDescent="0.2">
      <c r="D21" s="96"/>
    </row>
    <row r="22" spans="4:27" x14ac:dyDescent="0.2">
      <c r="D22" s="96"/>
    </row>
    <row r="23" spans="4:27" x14ac:dyDescent="0.2">
      <c r="D23" s="96"/>
    </row>
    <row r="24" spans="4:27" x14ac:dyDescent="0.2">
      <c r="D24" s="96"/>
    </row>
  </sheetData>
  <dataValidations count="7">
    <dataValidation type="list" allowBlank="1" showInputMessage="1" showErrorMessage="1" sqref="R7:R9 N7:N13 W7:W15" xr:uid="{8AB860E6-FB1A-F240-9CFA-6BE18CB91DC9}">
      <formula1>"1, 2, 3, 4, "</formula1>
    </dataValidation>
    <dataValidation type="list" allowBlank="1" showInputMessage="1" showErrorMessage="1" sqref="AA10" xr:uid="{51889C0F-E975-784C-91D0-C4B82E06B219}">
      <formula1>"1, 2, 3,"</formula1>
    </dataValidation>
    <dataValidation type="list" allowBlank="1" showInputMessage="1" showErrorMessage="1" sqref="AA11" xr:uid="{7305BEA1-5F3E-224E-A6D8-0C05930ABC5C}">
      <formula1>"1, 2, 3, 4"</formula1>
    </dataValidation>
    <dataValidation type="list" allowBlank="1" showInputMessage="1" showErrorMessage="1" sqref="AC8" xr:uid="{EC2A17E2-485A-484F-93AC-A64C01E1E6F8}">
      <formula1>"1, 2, 3"</formula1>
    </dataValidation>
    <dataValidation type="list" allowBlank="1" showInputMessage="1" showErrorMessage="1" sqref="AA8:AA9 AA14" xr:uid="{E5AFDB77-2809-F245-93ED-6E83E292F3F6}">
      <formula1>"1, 2,"</formula1>
    </dataValidation>
    <dataValidation type="list" allowBlank="1" showInputMessage="1" showErrorMessage="1" sqref="AA7" xr:uid="{433E63B7-CD9D-D948-94D4-29E0A19BE651}">
      <formula1>"1,"</formula1>
    </dataValidation>
    <dataValidation type="list" allowBlank="1" showInputMessage="1" showErrorMessage="1" sqref="W16" xr:uid="{CC6E8807-588E-1B4A-A239-69952CB75985}">
      <formula1>"1, 2"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F064-3B01-C043-AEDC-55DA76F10114}">
  <dimension ref="A1:P61"/>
  <sheetViews>
    <sheetView showGridLines="0" topLeftCell="A19" zoomScale="108" zoomScaleNormal="130" workbookViewId="0">
      <selection activeCell="J33" sqref="J33"/>
    </sheetView>
  </sheetViews>
  <sheetFormatPr baseColWidth="10" defaultRowHeight="16" x14ac:dyDescent="0.2"/>
  <cols>
    <col min="2" max="2" width="63.1640625" bestFit="1" customWidth="1"/>
    <col min="3" max="3" width="9" customWidth="1"/>
    <col min="4" max="13" width="12.33203125" bestFit="1" customWidth="1"/>
    <col min="14" max="14" width="12.33203125" customWidth="1"/>
    <col min="15" max="16" width="12.33203125" bestFit="1" customWidth="1"/>
  </cols>
  <sheetData>
    <row r="1" spans="1:16" ht="25" thickBot="1" x14ac:dyDescent="0.35">
      <c r="A1" s="10" t="str">
        <f>_xlfn.CONCAT(Inputs!C7, " - ", "Income Statement", " - ", "in ", Inputs!C9, " ", Inputs!C10)</f>
        <v>HAG - Income Statement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7" thickTop="1" x14ac:dyDescent="0.2"/>
    <row r="4" spans="1:16" x14ac:dyDescent="0.2">
      <c r="B4" t="s">
        <v>9</v>
      </c>
      <c r="D4" s="33">
        <f>EDATE(Inputs!$C$8, D5*12)</f>
        <v>43830</v>
      </c>
      <c r="E4" s="9">
        <f>EDATE(Inputs!$C$8, E5*12)</f>
        <v>44196</v>
      </c>
      <c r="F4" s="9">
        <f>EDATE(Inputs!$C$8, F5*12)</f>
        <v>44561</v>
      </c>
      <c r="G4" s="9">
        <f>EDATE(Inputs!$C$8, G5*12)</f>
        <v>44926</v>
      </c>
      <c r="H4" s="9">
        <f>EDATE(Inputs!$C$8, H5*12)</f>
        <v>45291</v>
      </c>
      <c r="I4" s="37">
        <f>EDATE(Inputs!$C$8, I5*12)</f>
        <v>45657</v>
      </c>
      <c r="J4" s="9">
        <f>EDATE(Inputs!$C$8, J5*12)</f>
        <v>46022</v>
      </c>
      <c r="K4" s="9">
        <f>EDATE(Inputs!$C$8, K5*12)</f>
        <v>46387</v>
      </c>
      <c r="L4" s="9">
        <f>EDATE(Inputs!$C$8, L5*12)</f>
        <v>46752</v>
      </c>
      <c r="M4" s="9">
        <f>EDATE(Inputs!$C$8, M5*12)</f>
        <v>47118</v>
      </c>
      <c r="N4" s="9">
        <f>EDATE(Inputs!$C$8, N5*12)</f>
        <v>47483</v>
      </c>
      <c r="P4" s="13" t="s">
        <v>307</v>
      </c>
    </row>
    <row r="5" spans="1:16" x14ac:dyDescent="0.2">
      <c r="B5" t="s">
        <v>10</v>
      </c>
      <c r="D5" s="34">
        <v>-5</v>
      </c>
      <c r="E5" s="8">
        <v>-4</v>
      </c>
      <c r="F5" s="8">
        <v>-3</v>
      </c>
      <c r="G5" s="8">
        <v>-2</v>
      </c>
      <c r="H5" s="8">
        <v>-1</v>
      </c>
      <c r="I5" s="38">
        <v>0</v>
      </c>
      <c r="J5" s="8">
        <v>1</v>
      </c>
      <c r="K5" s="8">
        <v>2</v>
      </c>
      <c r="L5" s="8">
        <v>3</v>
      </c>
      <c r="M5" s="8">
        <v>4</v>
      </c>
      <c r="N5" s="8">
        <v>5</v>
      </c>
      <c r="P5" s="13" t="s">
        <v>439</v>
      </c>
    </row>
    <row r="6" spans="1:16" x14ac:dyDescent="0.2">
      <c r="B6" t="s">
        <v>11</v>
      </c>
      <c r="D6" s="34" t="str">
        <f>_xlfn.CONCAT(Inputs!$C$9, " ", Inputs!$C$10)</f>
        <v>Euro millions</v>
      </c>
      <c r="E6" s="8" t="str">
        <f>_xlfn.CONCAT(Inputs!$C$9, " ", Inputs!$C$10)</f>
        <v>Euro millions</v>
      </c>
      <c r="F6" s="8" t="str">
        <f>_xlfn.CONCAT(Inputs!$C$9, " ", Inputs!$C$10)</f>
        <v>Euro millions</v>
      </c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3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P6" t="s">
        <v>308</v>
      </c>
    </row>
    <row r="7" spans="1:16" x14ac:dyDescent="0.2">
      <c r="B7" t="s">
        <v>12</v>
      </c>
      <c r="D7" s="34" t="str">
        <f>IF(D5&lt;=0, "Historical", "Forecasted")</f>
        <v>Historical</v>
      </c>
      <c r="E7" s="8" t="str">
        <f>IF(E5&lt;=0, "Historical", "Forecasted")</f>
        <v>Historical</v>
      </c>
      <c r="F7" s="8" t="str">
        <f t="shared" ref="F7:N7" si="0">IF(F5&lt;=0, "Historical", "Forecasted")</f>
        <v>Historical</v>
      </c>
      <c r="G7" s="8" t="str">
        <f t="shared" si="0"/>
        <v>Historical</v>
      </c>
      <c r="H7" s="8" t="str">
        <f t="shared" si="0"/>
        <v>Historical</v>
      </c>
      <c r="I7" s="38" t="str">
        <f t="shared" si="0"/>
        <v>Historical</v>
      </c>
      <c r="J7" s="8" t="str">
        <f t="shared" si="0"/>
        <v>Forecasted</v>
      </c>
      <c r="K7" s="8" t="str">
        <f t="shared" si="0"/>
        <v>Forecasted</v>
      </c>
      <c r="L7" s="8" t="str">
        <f t="shared" si="0"/>
        <v>Forecasted</v>
      </c>
      <c r="M7" s="8" t="str">
        <f t="shared" si="0"/>
        <v>Forecasted</v>
      </c>
      <c r="N7" s="8" t="str">
        <f t="shared" si="0"/>
        <v>Forecasted</v>
      </c>
      <c r="P7" t="s">
        <v>309</v>
      </c>
    </row>
    <row r="8" spans="1:16" x14ac:dyDescent="0.2">
      <c r="D8" s="32"/>
      <c r="I8" s="36"/>
      <c r="P8" t="s">
        <v>438</v>
      </c>
    </row>
    <row r="9" spans="1:16" ht="25" thickBot="1" x14ac:dyDescent="0.35">
      <c r="B9" s="17" t="s">
        <v>88</v>
      </c>
      <c r="D9" s="32"/>
      <c r="I9" s="36"/>
    </row>
    <row r="10" spans="1:16" x14ac:dyDescent="0.2">
      <c r="D10" s="32"/>
      <c r="I10" s="36"/>
      <c r="P10" s="13" t="s">
        <v>440</v>
      </c>
    </row>
    <row r="11" spans="1:16" x14ac:dyDescent="0.2">
      <c r="B11" s="185" t="s">
        <v>423</v>
      </c>
      <c r="C11" s="22"/>
      <c r="D11" s="86"/>
      <c r="E11" s="22"/>
      <c r="F11" s="22"/>
      <c r="G11" s="22"/>
      <c r="H11" s="22"/>
      <c r="I11" s="22"/>
      <c r="J11" s="86"/>
      <c r="K11" s="22"/>
      <c r="L11" s="22"/>
      <c r="M11" s="22"/>
      <c r="N11" s="22"/>
      <c r="P11" t="s">
        <v>349</v>
      </c>
    </row>
    <row r="12" spans="1:16" x14ac:dyDescent="0.2">
      <c r="B12" s="184" t="s">
        <v>14</v>
      </c>
      <c r="D12" s="211">
        <f t="shared" ref="D12:I12" si="1">SUMIF($J$40:$J$61,$B$12,D40:D61)</f>
        <v>1114.2</v>
      </c>
      <c r="E12" s="211">
        <f t="shared" si="1"/>
        <v>1206.9000000000001</v>
      </c>
      <c r="F12" s="211">
        <f t="shared" si="1"/>
        <v>1474</v>
      </c>
      <c r="G12" s="211">
        <f t="shared" si="1"/>
        <v>1707</v>
      </c>
      <c r="H12" s="211">
        <f t="shared" si="1"/>
        <v>1847</v>
      </c>
      <c r="I12" s="211">
        <f t="shared" si="1"/>
        <v>2240</v>
      </c>
      <c r="J12" s="117">
        <f>'Revenue &amp; Expenses (updated)'!M22</f>
        <v>2800</v>
      </c>
      <c r="K12" s="117">
        <f>'Revenue &amp; Expenses (updated)'!N22</f>
        <v>2930.0039999999995</v>
      </c>
      <c r="L12" s="117">
        <f>'Revenue &amp; Expenses (updated)'!O22</f>
        <v>3662.0576999999998</v>
      </c>
      <c r="M12" s="117">
        <f>'Revenue &amp; Expenses (updated)'!P22</f>
        <v>4236.7788287999992</v>
      </c>
      <c r="N12" s="117">
        <f>'Revenue &amp; Expenses (updated)'!Q22</f>
        <v>5090.2078033799989</v>
      </c>
    </row>
    <row r="13" spans="1:16" x14ac:dyDescent="0.2">
      <c r="B13" s="184" t="s">
        <v>424</v>
      </c>
      <c r="D13" s="211">
        <f t="shared" ref="D13:I13" si="2">SUMIF($J$40:$J$61,$B$13,D40:D61)</f>
        <v>-859.3</v>
      </c>
      <c r="E13" s="211">
        <f t="shared" si="2"/>
        <v>-936.1</v>
      </c>
      <c r="F13" s="211">
        <f t="shared" si="2"/>
        <v>-1144</v>
      </c>
      <c r="G13" s="211">
        <f t="shared" si="2"/>
        <v>-1314</v>
      </c>
      <c r="H13" s="211">
        <f t="shared" si="2"/>
        <v>-1427</v>
      </c>
      <c r="I13" s="211">
        <f t="shared" si="2"/>
        <v>-1732</v>
      </c>
      <c r="J13" s="215">
        <f>'Revenue &amp; Expenses (updated)'!M45*-1</f>
        <v>-1959.9999999999998</v>
      </c>
      <c r="K13" s="215">
        <f>'Revenue &amp; Expenses (updated)'!N45*-1</f>
        <v>-2021.7027599999994</v>
      </c>
      <c r="L13" s="215">
        <f>'Revenue &amp; Expenses (updated)'!O45*-1</f>
        <v>-2490.1992359999999</v>
      </c>
      <c r="M13" s="215">
        <f>'Revenue &amp; Expenses (updated)'!P45*-1</f>
        <v>-2881.0096035839997</v>
      </c>
      <c r="N13" s="215">
        <f>'Revenue &amp; Expenses (updated)'!Q45*-1</f>
        <v>-3461.3413062983996</v>
      </c>
      <c r="P13" s="13" t="s">
        <v>548</v>
      </c>
    </row>
    <row r="14" spans="1:16" ht="17" thickBot="1" x14ac:dyDescent="0.25">
      <c r="B14" s="193" t="s">
        <v>159</v>
      </c>
      <c r="C14" s="26"/>
      <c r="D14" s="214">
        <f>SUM(D12:D13)</f>
        <v>254.90000000000009</v>
      </c>
      <c r="E14" s="214">
        <f t="shared" ref="E14:I14" si="3">SUM(E12:E13)</f>
        <v>270.80000000000007</v>
      </c>
      <c r="F14" s="214">
        <f t="shared" si="3"/>
        <v>330</v>
      </c>
      <c r="G14" s="214">
        <f t="shared" si="3"/>
        <v>393</v>
      </c>
      <c r="H14" s="214">
        <f t="shared" si="3"/>
        <v>420</v>
      </c>
      <c r="I14" s="214">
        <f t="shared" si="3"/>
        <v>508</v>
      </c>
      <c r="J14" s="132">
        <f>SUM(J12:J13)</f>
        <v>840.00000000000023</v>
      </c>
      <c r="K14" s="132">
        <f t="shared" ref="K14:N14" si="4">SUM(K12:K13)</f>
        <v>908.30124000000001</v>
      </c>
      <c r="L14" s="132">
        <f t="shared" si="4"/>
        <v>1171.8584639999999</v>
      </c>
      <c r="M14" s="132">
        <f t="shared" si="4"/>
        <v>1355.7692252159995</v>
      </c>
      <c r="N14" s="132">
        <f t="shared" si="4"/>
        <v>1628.8664970815994</v>
      </c>
      <c r="P14" s="46" t="s">
        <v>549</v>
      </c>
    </row>
    <row r="15" spans="1:16" x14ac:dyDescent="0.2">
      <c r="B15" s="184" t="s">
        <v>186</v>
      </c>
      <c r="D15" s="211">
        <f t="shared" ref="D15:I15" si="5">SUMIF($J$40:$J$61,$B$15,D40:D61)</f>
        <v>-161.1</v>
      </c>
      <c r="E15" s="211">
        <f t="shared" si="5"/>
        <v>-177.4</v>
      </c>
      <c r="F15" s="211">
        <f t="shared" si="5"/>
        <v>-182</v>
      </c>
      <c r="G15" s="211">
        <f t="shared" si="5"/>
        <v>-199</v>
      </c>
      <c r="H15" s="211">
        <f t="shared" si="5"/>
        <v>-229</v>
      </c>
      <c r="I15" s="211">
        <f t="shared" si="5"/>
        <v>-290</v>
      </c>
      <c r="J15" s="117">
        <f>'Revenue &amp; Expenses (updated)'!M47*-1</f>
        <v>-252</v>
      </c>
      <c r="K15" s="117">
        <f>'Revenue &amp; Expenses (updated)'!N47*-1</f>
        <v>-263.70035999999993</v>
      </c>
      <c r="L15" s="117">
        <f>'Revenue &amp; Expenses (updated)'!O47*-1</f>
        <v>-329.58519299999995</v>
      </c>
      <c r="M15" s="117">
        <f>'Revenue &amp; Expenses (updated)'!P47*-1</f>
        <v>-381.31009459199993</v>
      </c>
      <c r="N15" s="117">
        <f>'Revenue &amp; Expenses (updated)'!Q47*-1</f>
        <v>-458.11870230419987</v>
      </c>
      <c r="P15" s="13"/>
    </row>
    <row r="16" spans="1:16" x14ac:dyDescent="0.2">
      <c r="B16" s="184" t="s">
        <v>192</v>
      </c>
      <c r="D16" s="211">
        <f t="shared" ref="D16:I16" si="6">SUMIF($J$40:$J$61,$B$16,D40:D61)</f>
        <v>-31</v>
      </c>
      <c r="E16" s="211">
        <f t="shared" si="6"/>
        <v>-25.1</v>
      </c>
      <c r="F16" s="211">
        <f t="shared" si="6"/>
        <v>-31</v>
      </c>
      <c r="G16" s="211">
        <f t="shared" si="6"/>
        <v>-36</v>
      </c>
      <c r="H16" s="211">
        <f t="shared" si="6"/>
        <v>-30</v>
      </c>
      <c r="I16" s="211">
        <f t="shared" si="6"/>
        <v>-32</v>
      </c>
      <c r="J16" s="117">
        <f>'Revenue &amp; Expenses (updated)'!M49*-1</f>
        <v>-112</v>
      </c>
      <c r="K16" s="117">
        <f>'Revenue &amp; Expenses (updated)'!N49*-1</f>
        <v>-117.20015999999998</v>
      </c>
      <c r="L16" s="117">
        <f>'Revenue &amp; Expenses (updated)'!O49*-1</f>
        <v>-146.48230799999999</v>
      </c>
      <c r="M16" s="117">
        <f>'Revenue &amp; Expenses (updated)'!P49*-1</f>
        <v>-169.47115315199997</v>
      </c>
      <c r="N16" s="117">
        <f>'Revenue &amp; Expenses (updated)'!Q49*-1</f>
        <v>-203.60831213519995</v>
      </c>
      <c r="P16" s="13"/>
    </row>
    <row r="17" spans="2:16" x14ac:dyDescent="0.2">
      <c r="B17" s="184" t="s">
        <v>425</v>
      </c>
      <c r="D17" s="211">
        <f t="shared" ref="D17:I17" si="7">SUMIF($J$40:$J$61,$B$17,D40:D61)</f>
        <v>-0.7</v>
      </c>
      <c r="E17" s="211">
        <f t="shared" si="7"/>
        <v>0.19999999999999707</v>
      </c>
      <c r="F17" s="211">
        <f t="shared" si="7"/>
        <v>9</v>
      </c>
      <c r="G17" s="211">
        <f t="shared" si="7"/>
        <v>8</v>
      </c>
      <c r="H17" s="211">
        <f t="shared" si="7"/>
        <v>6</v>
      </c>
      <c r="I17" s="211">
        <f t="shared" si="7"/>
        <v>-2</v>
      </c>
      <c r="J17" s="222">
        <v>0</v>
      </c>
      <c r="K17" s="222">
        <v>0</v>
      </c>
      <c r="L17" s="222">
        <v>0</v>
      </c>
      <c r="M17" s="222">
        <v>0</v>
      </c>
      <c r="N17" s="222">
        <v>0</v>
      </c>
      <c r="P17" s="13"/>
    </row>
    <row r="18" spans="2:16" ht="17" thickBot="1" x14ac:dyDescent="0.25">
      <c r="B18" s="193" t="s">
        <v>426</v>
      </c>
      <c r="C18" s="26"/>
      <c r="D18" s="214">
        <f t="shared" ref="D18:J18" si="8">SUM(D14:D17)</f>
        <v>62.100000000000094</v>
      </c>
      <c r="E18" s="214">
        <f t="shared" si="8"/>
        <v>68.500000000000071</v>
      </c>
      <c r="F18" s="214">
        <f t="shared" si="8"/>
        <v>126</v>
      </c>
      <c r="G18" s="214">
        <f t="shared" si="8"/>
        <v>166</v>
      </c>
      <c r="H18" s="214">
        <f t="shared" si="8"/>
        <v>167</v>
      </c>
      <c r="I18" s="214">
        <f t="shared" si="8"/>
        <v>184</v>
      </c>
      <c r="J18" s="132">
        <f t="shared" si="8"/>
        <v>476.00000000000023</v>
      </c>
      <c r="K18" s="132">
        <f t="shared" ref="K18:N18" si="9">SUM(K14:K17)</f>
        <v>527.40072000000009</v>
      </c>
      <c r="L18" s="132">
        <f t="shared" si="9"/>
        <v>695.79096300000003</v>
      </c>
      <c r="M18" s="132">
        <f t="shared" si="9"/>
        <v>804.98797747199967</v>
      </c>
      <c r="N18" s="132">
        <f t="shared" si="9"/>
        <v>967.1394826421996</v>
      </c>
    </row>
    <row r="19" spans="2:16" x14ac:dyDescent="0.2">
      <c r="B19" s="184" t="s">
        <v>434</v>
      </c>
      <c r="D19" s="211">
        <f t="shared" ref="D19:I19" si="10">SUMIF($J$40:$J$61,$B$19,D40:D61)</f>
        <v>-83.5</v>
      </c>
      <c r="E19" s="211">
        <f t="shared" si="10"/>
        <v>-137.69999999999999</v>
      </c>
      <c r="F19" s="211">
        <f t="shared" si="10"/>
        <v>-42</v>
      </c>
      <c r="G19" s="211">
        <f t="shared" si="10"/>
        <v>-44</v>
      </c>
      <c r="H19" s="211">
        <f t="shared" si="10"/>
        <v>-82</v>
      </c>
      <c r="I19" s="211">
        <f t="shared" si="10"/>
        <v>-100</v>
      </c>
      <c r="J19" s="200">
        <f>'Debt &amp; Cash'!K44</f>
        <v>-60.20552</v>
      </c>
      <c r="K19" s="200">
        <f ca="1">'Debt &amp; Cash'!L44</f>
        <v>-76.780830853112661</v>
      </c>
      <c r="L19" s="200">
        <f ca="1">'Debt &amp; Cash'!M44</f>
        <v>-79.521157551195842</v>
      </c>
      <c r="M19" s="200">
        <f ca="1">'Debt &amp; Cash'!N44</f>
        <v>-66.743712900787216</v>
      </c>
      <c r="N19" s="200">
        <f ca="1">'Debt &amp; Cash'!O44</f>
        <v>-72.503618940572906</v>
      </c>
    </row>
    <row r="20" spans="2:16" x14ac:dyDescent="0.2">
      <c r="B20" s="184" t="s">
        <v>435</v>
      </c>
      <c r="D20" s="211">
        <f t="shared" ref="D20:I20" si="11">SUMIF($J$40:$J$61,$B$20,D40:D61)</f>
        <v>58.9</v>
      </c>
      <c r="E20" s="211">
        <f t="shared" si="11"/>
        <v>4</v>
      </c>
      <c r="F20" s="211">
        <f t="shared" si="11"/>
        <v>4</v>
      </c>
      <c r="G20" s="211">
        <f t="shared" si="11"/>
        <v>9</v>
      </c>
      <c r="H20" s="211">
        <f t="shared" si="11"/>
        <v>18</v>
      </c>
      <c r="I20" s="211">
        <f t="shared" si="11"/>
        <v>31</v>
      </c>
      <c r="J20" s="117">
        <f>'Debt &amp; Cash'!K51</f>
        <v>29.66</v>
      </c>
      <c r="K20" s="117">
        <f ca="1">'Debt &amp; Cash'!L51</f>
        <v>31.38381514770267</v>
      </c>
      <c r="L20" s="117">
        <f ca="1">'Debt &amp; Cash'!M51</f>
        <v>32.048630998630379</v>
      </c>
      <c r="M20" s="117">
        <f ca="1">'Debt &amp; Cash'!N51</f>
        <v>37.291033839193823</v>
      </c>
      <c r="N20" s="117">
        <f ca="1">'Debt &amp; Cash'!O51</f>
        <v>42.379228358292821</v>
      </c>
    </row>
    <row r="21" spans="2:16" x14ac:dyDescent="0.2">
      <c r="B21" s="184" t="s">
        <v>436</v>
      </c>
      <c r="D21" s="211">
        <f t="shared" ref="D21:I21" si="12">SUMIF($J$40:$J$61,$B$21,D40:D61)</f>
        <v>-1.9</v>
      </c>
      <c r="E21" s="211">
        <f t="shared" si="12"/>
        <v>-10</v>
      </c>
      <c r="F21" s="211">
        <f t="shared" si="12"/>
        <v>-3</v>
      </c>
      <c r="G21" s="211">
        <f t="shared" si="12"/>
        <v>-1</v>
      </c>
      <c r="H21" s="211">
        <f t="shared" si="12"/>
        <v>-7</v>
      </c>
      <c r="I21" s="211">
        <f t="shared" si="12"/>
        <v>1</v>
      </c>
      <c r="J21" s="222">
        <v>0</v>
      </c>
      <c r="K21" s="222">
        <v>0</v>
      </c>
      <c r="L21" s="222">
        <v>0</v>
      </c>
      <c r="M21" s="222">
        <v>0</v>
      </c>
      <c r="N21" s="222">
        <v>0</v>
      </c>
    </row>
    <row r="22" spans="2:16" ht="17" thickBot="1" x14ac:dyDescent="0.25">
      <c r="B22" s="193" t="s">
        <v>427</v>
      </c>
      <c r="C22" s="84"/>
      <c r="D22" s="214">
        <f>SUM(D18:D21)</f>
        <v>35.600000000000094</v>
      </c>
      <c r="E22" s="214">
        <f>SUM(E18:E21)</f>
        <v>-75.199999999999918</v>
      </c>
      <c r="F22" s="214">
        <f t="shared" ref="F22:I22" si="13">SUM(F18:F21)</f>
        <v>85</v>
      </c>
      <c r="G22" s="214">
        <f t="shared" si="13"/>
        <v>130</v>
      </c>
      <c r="H22" s="214">
        <f t="shared" si="13"/>
        <v>96</v>
      </c>
      <c r="I22" s="214">
        <f t="shared" si="13"/>
        <v>116</v>
      </c>
      <c r="J22" s="132">
        <f>SUM(J18:J21)</f>
        <v>445.45448000000027</v>
      </c>
      <c r="K22" s="132">
        <f t="shared" ref="K22:N22" ca="1" si="14">SUM(K18:K21)</f>
        <v>482.00370429459008</v>
      </c>
      <c r="L22" s="132">
        <f t="shared" ca="1" si="14"/>
        <v>648.31843644743458</v>
      </c>
      <c r="M22" s="132">
        <f t="shared" ca="1" si="14"/>
        <v>775.5352984104062</v>
      </c>
      <c r="N22" s="132">
        <f t="shared" ca="1" si="14"/>
        <v>937.01509205991954</v>
      </c>
    </row>
    <row r="23" spans="2:16" x14ac:dyDescent="0.2">
      <c r="B23" s="184" t="s">
        <v>168</v>
      </c>
      <c r="C23" s="275">
        <v>0.28299999999999997</v>
      </c>
      <c r="D23" s="211">
        <f t="shared" ref="D23:I23" si="15">SUMIF($J$40:$J$61,$B$23,D40:D61)</f>
        <v>-27.4</v>
      </c>
      <c r="E23" s="211">
        <f t="shared" si="15"/>
        <v>10.7</v>
      </c>
      <c r="F23" s="211">
        <f t="shared" si="15"/>
        <v>-22</v>
      </c>
      <c r="G23" s="211">
        <f t="shared" si="15"/>
        <v>-49</v>
      </c>
      <c r="H23" s="211">
        <f t="shared" si="15"/>
        <v>-36</v>
      </c>
      <c r="I23" s="211">
        <f t="shared" si="15"/>
        <v>-12</v>
      </c>
      <c r="J23" s="216">
        <f>J22*$C$23*-1</f>
        <v>-126.06361784000006</v>
      </c>
      <c r="K23" s="216">
        <f t="shared" ref="K23:N23" ca="1" si="16">K22*$C$23*-1</f>
        <v>-136.40704831536897</v>
      </c>
      <c r="L23" s="216">
        <f t="shared" ca="1" si="16"/>
        <v>-183.47411751462397</v>
      </c>
      <c r="M23" s="216">
        <f t="shared" ca="1" si="16"/>
        <v>-219.47648945014492</v>
      </c>
      <c r="N23" s="216">
        <f t="shared" ca="1" si="16"/>
        <v>-265.17527105295721</v>
      </c>
    </row>
    <row r="24" spans="2:16" ht="17" thickBot="1" x14ac:dyDescent="0.25">
      <c r="B24" s="193" t="s">
        <v>428</v>
      </c>
      <c r="C24" s="26"/>
      <c r="D24" s="214">
        <f>SUM(D22:D23)</f>
        <v>8.2000000000000952</v>
      </c>
      <c r="E24" s="214">
        <f t="shared" ref="E24:I24" si="17">SUM(E22:E23)</f>
        <v>-64.499999999999915</v>
      </c>
      <c r="F24" s="214">
        <f t="shared" si="17"/>
        <v>63</v>
      </c>
      <c r="G24" s="214">
        <f t="shared" si="17"/>
        <v>81</v>
      </c>
      <c r="H24" s="214">
        <f t="shared" si="17"/>
        <v>60</v>
      </c>
      <c r="I24" s="214">
        <f t="shared" si="17"/>
        <v>104</v>
      </c>
      <c r="J24" s="132">
        <f>J22+J23</f>
        <v>319.39086216000021</v>
      </c>
      <c r="K24" s="132">
        <f t="shared" ref="K24:N24" ca="1" si="18">K22+K23</f>
        <v>345.59665597922111</v>
      </c>
      <c r="L24" s="132">
        <f t="shared" ca="1" si="18"/>
        <v>464.84431893281061</v>
      </c>
      <c r="M24" s="132">
        <f t="shared" ca="1" si="18"/>
        <v>556.05880896026133</v>
      </c>
      <c r="N24" s="132">
        <f t="shared" ca="1" si="18"/>
        <v>671.83982100696232</v>
      </c>
    </row>
    <row r="25" spans="2:16" x14ac:dyDescent="0.2">
      <c r="B25" s="184" t="s">
        <v>429</v>
      </c>
      <c r="D25" s="211">
        <f t="shared" ref="D25:I25" si="19">SUMIF($J$40:$J$61,$B$25,D40:D61)</f>
        <v>5.9</v>
      </c>
      <c r="E25" s="211">
        <f t="shared" si="19"/>
        <v>-65.2</v>
      </c>
      <c r="F25" s="211">
        <f t="shared" si="19"/>
        <v>63</v>
      </c>
      <c r="G25" s="211">
        <f t="shared" si="19"/>
        <v>78</v>
      </c>
      <c r="H25" s="211">
        <f t="shared" si="19"/>
        <v>56</v>
      </c>
      <c r="I25" s="211">
        <f t="shared" si="19"/>
        <v>108</v>
      </c>
      <c r="J25" s="297">
        <f>J24-2</f>
        <v>317.39086216000021</v>
      </c>
      <c r="K25" s="297">
        <f t="shared" ref="K25:N25" ca="1" si="20">K24-2</f>
        <v>343.59665597922111</v>
      </c>
      <c r="L25" s="297">
        <f t="shared" ca="1" si="20"/>
        <v>462.84431893281061</v>
      </c>
      <c r="M25" s="297">
        <f t="shared" ca="1" si="20"/>
        <v>554.05880896026133</v>
      </c>
      <c r="N25" s="297">
        <f t="shared" ca="1" si="20"/>
        <v>669.83982100696232</v>
      </c>
      <c r="P25" s="13" t="s">
        <v>673</v>
      </c>
    </row>
    <row r="26" spans="2:16" x14ac:dyDescent="0.2">
      <c r="B26" s="184" t="s">
        <v>430</v>
      </c>
      <c r="D26" s="211">
        <f t="shared" ref="D26:I26" si="21">SUMIF($J$40:$J$61,$B$26,D40:D61)</f>
        <v>2.2999999999999998</v>
      </c>
      <c r="E26" s="211">
        <f t="shared" si="21"/>
        <v>0.7</v>
      </c>
      <c r="F26" s="211">
        <f t="shared" si="21"/>
        <v>0</v>
      </c>
      <c r="G26" s="211">
        <f t="shared" si="21"/>
        <v>2</v>
      </c>
      <c r="H26" s="211">
        <f t="shared" si="21"/>
        <v>2</v>
      </c>
      <c r="I26" s="211">
        <f t="shared" si="21"/>
        <v>-2</v>
      </c>
      <c r="J26" s="108">
        <v>2</v>
      </c>
      <c r="K26" s="108">
        <v>2</v>
      </c>
      <c r="L26" s="108">
        <v>2</v>
      </c>
      <c r="M26" s="108">
        <v>2</v>
      </c>
      <c r="N26" s="108">
        <v>2</v>
      </c>
      <c r="P26" t="s">
        <v>674</v>
      </c>
    </row>
    <row r="27" spans="2:16" ht="17" thickBot="1" x14ac:dyDescent="0.25">
      <c r="B27" s="188" t="s">
        <v>431</v>
      </c>
      <c r="C27" s="196"/>
      <c r="D27" s="298">
        <f>D28</f>
        <v>7.0000000000000007E-2</v>
      </c>
      <c r="E27" s="298">
        <f t="shared" ref="E27:I27" si="22">E28</f>
        <v>-0.75</v>
      </c>
      <c r="F27" s="298">
        <f t="shared" si="22"/>
        <v>0.6</v>
      </c>
      <c r="G27" s="298">
        <f t="shared" si="22"/>
        <v>0.75</v>
      </c>
      <c r="H27" s="298">
        <f t="shared" si="22"/>
        <v>0.53</v>
      </c>
      <c r="I27" s="298">
        <f t="shared" si="22"/>
        <v>0.93</v>
      </c>
      <c r="J27" s="299">
        <f>J24/$C$28</f>
        <v>2.753369501379312</v>
      </c>
      <c r="K27" s="299">
        <f t="shared" ref="K27:N27" ca="1" si="23">K24/$C$28</f>
        <v>2.9792815170622511</v>
      </c>
      <c r="L27" s="299">
        <f t="shared" ca="1" si="23"/>
        <v>4.0072786114897463</v>
      </c>
      <c r="M27" s="299">
        <f t="shared" ca="1" si="23"/>
        <v>4.7936104220712181</v>
      </c>
      <c r="N27" s="299">
        <f t="shared" ca="1" si="23"/>
        <v>5.7917225948876059</v>
      </c>
      <c r="P27" t="s">
        <v>675</v>
      </c>
    </row>
    <row r="28" spans="2:16" ht="17" thickTop="1" x14ac:dyDescent="0.2">
      <c r="B28" s="184" t="s">
        <v>437</v>
      </c>
      <c r="C28" s="210">
        <v>116</v>
      </c>
      <c r="D28" s="50">
        <f>D61</f>
        <v>7.0000000000000007E-2</v>
      </c>
      <c r="E28" s="50">
        <f t="shared" ref="E28:I28" si="24">E61</f>
        <v>-0.75</v>
      </c>
      <c r="F28" s="50">
        <f t="shared" si="24"/>
        <v>0.6</v>
      </c>
      <c r="G28" s="50">
        <f t="shared" si="24"/>
        <v>0.75</v>
      </c>
      <c r="H28" s="50">
        <f t="shared" si="24"/>
        <v>0.53</v>
      </c>
      <c r="I28" s="50">
        <f t="shared" si="24"/>
        <v>0.93</v>
      </c>
      <c r="J28" s="32"/>
    </row>
    <row r="29" spans="2:16" x14ac:dyDescent="0.2">
      <c r="B29" s="184"/>
      <c r="C29" s="174"/>
      <c r="D29" s="243"/>
      <c r="E29" s="243"/>
      <c r="F29" s="243"/>
      <c r="G29" s="243"/>
      <c r="H29" s="243"/>
      <c r="I29" s="243"/>
      <c r="P29" s="13" t="s">
        <v>444</v>
      </c>
    </row>
    <row r="30" spans="2:16" x14ac:dyDescent="0.2">
      <c r="B30" s="183" t="s">
        <v>443</v>
      </c>
      <c r="C30" s="174"/>
      <c r="D30" s="16">
        <f>SUM(D18, D31)</f>
        <v>191.7000000000001</v>
      </c>
      <c r="E30" s="16">
        <f t="shared" ref="E30:I30" si="25">SUM(E18, E31)</f>
        <v>189.30000000000007</v>
      </c>
      <c r="F30" s="16">
        <f t="shared" si="25"/>
        <v>252</v>
      </c>
      <c r="G30" s="16">
        <f t="shared" si="25"/>
        <v>269</v>
      </c>
      <c r="H30" s="16">
        <f t="shared" si="25"/>
        <v>284</v>
      </c>
      <c r="I30" s="16">
        <f t="shared" si="25"/>
        <v>346</v>
      </c>
      <c r="J30" s="16">
        <f>SUM(J18, J31)</f>
        <v>739.0373005997003</v>
      </c>
      <c r="K30" s="16">
        <f t="shared" ref="K30:N30" ca="1" si="26">SUM(K18, K31)</f>
        <v>798.39069228709479</v>
      </c>
      <c r="L30" s="16">
        <f t="shared" ca="1" si="26"/>
        <v>975.43645985498028</v>
      </c>
      <c r="M30" s="16">
        <f ca="1">SUM(M18, M31)</f>
        <v>1101.8463201735972</v>
      </c>
      <c r="N30" s="16">
        <f t="shared" ca="1" si="26"/>
        <v>1286.7258228179207</v>
      </c>
      <c r="P30" t="s">
        <v>445</v>
      </c>
    </row>
    <row r="31" spans="2:16" x14ac:dyDescent="0.2">
      <c r="B31" s="183" t="s">
        <v>357</v>
      </c>
      <c r="C31" s="174"/>
      <c r="D31" s="16">
        <f>'CF Neu '!G53</f>
        <v>129.6</v>
      </c>
      <c r="E31" s="16">
        <f>'CF Neu '!H53</f>
        <v>120.8</v>
      </c>
      <c r="F31" s="16">
        <f>'CF Neu '!I53</f>
        <v>126</v>
      </c>
      <c r="G31" s="16">
        <f>'CF Neu '!J53</f>
        <v>103</v>
      </c>
      <c r="H31" s="16">
        <f>'CF Neu '!K53</f>
        <v>117</v>
      </c>
      <c r="I31" s="16">
        <f>'CF Neu '!L53</f>
        <v>162</v>
      </c>
      <c r="J31" s="205">
        <f>'FA-Forecast (updated)'!M84</f>
        <v>263.03730059970013</v>
      </c>
      <c r="K31" s="205">
        <f ca="1">'FA-Forecast (updated)'!N84</f>
        <v>270.9899722870947</v>
      </c>
      <c r="L31" s="205">
        <f ca="1">'FA-Forecast (updated)'!O84</f>
        <v>279.64549685498025</v>
      </c>
      <c r="M31" s="205">
        <f ca="1">'FA-Forecast (updated)'!P84</f>
        <v>296.85834270159762</v>
      </c>
      <c r="N31" s="205">
        <f ca="1">'FA-Forecast (updated)'!Q84</f>
        <v>319.58634017572115</v>
      </c>
    </row>
    <row r="32" spans="2:16" x14ac:dyDescent="0.2">
      <c r="B32" s="183"/>
      <c r="C32" s="174"/>
      <c r="D32" s="16"/>
      <c r="E32" s="16"/>
      <c r="F32" s="16"/>
      <c r="G32" s="16"/>
      <c r="H32" s="16"/>
      <c r="I32" s="16"/>
      <c r="J32" s="205"/>
      <c r="K32" s="205"/>
      <c r="L32" s="205"/>
      <c r="M32" s="205"/>
      <c r="N32" s="205"/>
    </row>
    <row r="33" spans="2:14" x14ac:dyDescent="0.2">
      <c r="B33" s="183" t="s">
        <v>841</v>
      </c>
      <c r="C33" s="174"/>
      <c r="D33" s="68">
        <f>D30/D12</f>
        <v>0.17205169628432965</v>
      </c>
      <c r="E33" s="68">
        <f t="shared" ref="E33:N33" si="27">E30/E12</f>
        <v>0.15684812329107636</v>
      </c>
      <c r="F33" s="68">
        <f t="shared" si="27"/>
        <v>0.17096336499321574</v>
      </c>
      <c r="G33" s="68">
        <f t="shared" si="27"/>
        <v>0.15758640890451084</v>
      </c>
      <c r="H33" s="68">
        <f t="shared" si="27"/>
        <v>0.15376285868976719</v>
      </c>
      <c r="I33" s="68">
        <f t="shared" si="27"/>
        <v>0.15446428571428572</v>
      </c>
      <c r="J33" s="68">
        <f t="shared" si="27"/>
        <v>0.26394189307132154</v>
      </c>
      <c r="K33" s="68">
        <f t="shared" ca="1" si="27"/>
        <v>0.27248791888580864</v>
      </c>
      <c r="L33" s="68">
        <f t="shared" ca="1" si="27"/>
        <v>0.2663629412106151</v>
      </c>
      <c r="M33" s="68">
        <f t="shared" ca="1" si="27"/>
        <v>0.2600669906778395</v>
      </c>
      <c r="N33" s="68">
        <f t="shared" ca="1" si="27"/>
        <v>0.25278453700132031</v>
      </c>
    </row>
    <row r="34" spans="2:14" x14ac:dyDescent="0.2">
      <c r="B34" s="183"/>
      <c r="C34" s="174"/>
      <c r="D34" s="16"/>
      <c r="E34" s="16"/>
      <c r="F34" s="16"/>
      <c r="G34" s="16"/>
      <c r="H34" s="16"/>
      <c r="I34" s="16"/>
      <c r="J34" s="205"/>
      <c r="K34" s="205"/>
      <c r="L34" s="205"/>
      <c r="M34" s="205"/>
      <c r="N34" s="205"/>
    </row>
    <row r="35" spans="2:14" x14ac:dyDescent="0.2">
      <c r="B35" s="184"/>
      <c r="C35" s="174"/>
    </row>
    <row r="36" spans="2:14" x14ac:dyDescent="0.2">
      <c r="B36" s="183" t="s">
        <v>272</v>
      </c>
      <c r="C36" s="174"/>
      <c r="D36" s="16">
        <f>'BS Neu'!D26</f>
        <v>137.4</v>
      </c>
      <c r="E36" s="16">
        <f>'BS Neu'!E26</f>
        <v>645.5</v>
      </c>
      <c r="F36" s="16">
        <f>'BS Neu'!F26</f>
        <v>529</v>
      </c>
      <c r="G36" s="16">
        <f>'BS Neu'!G26</f>
        <v>460</v>
      </c>
      <c r="H36" s="16">
        <f>'BS Neu'!H26</f>
        <v>802</v>
      </c>
      <c r="I36" s="16">
        <f>'BS Neu'!I26</f>
        <v>733</v>
      </c>
      <c r="J36" s="16">
        <f ca="1">'BS Neu'!J26</f>
        <v>936.2180084401524</v>
      </c>
      <c r="K36" s="16">
        <f ca="1">'BS Neu'!K26</f>
        <v>1136.5753999086919</v>
      </c>
      <c r="L36" s="16">
        <f ca="1">'BS Neu'!L26</f>
        <v>1486.0689226129216</v>
      </c>
      <c r="M36" s="16">
        <f ca="1">'BS Neu'!M26</f>
        <v>1825.2818905528547</v>
      </c>
      <c r="N36" s="16">
        <f ca="1">'BS Neu'!N26</f>
        <v>2223.6018343334326</v>
      </c>
    </row>
    <row r="37" spans="2:14" x14ac:dyDescent="0.2">
      <c r="B37" s="184" t="s">
        <v>503</v>
      </c>
      <c r="C37" s="174"/>
      <c r="D37" s="339">
        <f>D36/D12</f>
        <v>0.12331717824448034</v>
      </c>
      <c r="E37" s="339">
        <f t="shared" ref="E37:N37" si="28">E36/E12</f>
        <v>0.53484132902477421</v>
      </c>
      <c r="F37" s="339">
        <f t="shared" si="28"/>
        <v>0.35888738127544095</v>
      </c>
      <c r="G37" s="339">
        <f t="shared" si="28"/>
        <v>0.26947861745752782</v>
      </c>
      <c r="H37" s="339">
        <f t="shared" si="28"/>
        <v>0.43421765024363834</v>
      </c>
      <c r="I37" s="339">
        <f t="shared" si="28"/>
        <v>0.32723214285714286</v>
      </c>
      <c r="J37" s="339">
        <f ca="1">J36/J12</f>
        <v>0.33436357444291159</v>
      </c>
      <c r="K37" s="339">
        <f t="shared" ca="1" si="28"/>
        <v>0.38790916323277785</v>
      </c>
      <c r="L37" s="339">
        <f t="shared" ca="1" si="28"/>
        <v>0.40580161328777581</v>
      </c>
      <c r="M37" s="339">
        <f t="shared" ca="1" si="28"/>
        <v>0.43081830898164608</v>
      </c>
      <c r="N37" s="339">
        <f t="shared" ca="1" si="28"/>
        <v>0.436839107601249</v>
      </c>
    </row>
    <row r="39" spans="2:14" x14ac:dyDescent="0.2">
      <c r="B39" s="84" t="s">
        <v>433</v>
      </c>
      <c r="C39" s="84"/>
      <c r="D39" s="199">
        <v>2019</v>
      </c>
      <c r="E39" s="84">
        <v>2020</v>
      </c>
      <c r="F39" s="84">
        <v>2021</v>
      </c>
      <c r="G39" s="84">
        <v>2022</v>
      </c>
      <c r="H39" s="84">
        <v>2023</v>
      </c>
      <c r="I39" s="85">
        <v>2024</v>
      </c>
    </row>
    <row r="40" spans="2:14" x14ac:dyDescent="0.2">
      <c r="B40" t="s">
        <v>14</v>
      </c>
      <c r="D40" s="42">
        <v>1114.2</v>
      </c>
      <c r="E40" s="16">
        <v>1206.9000000000001</v>
      </c>
      <c r="F40">
        <v>1474</v>
      </c>
      <c r="G40">
        <v>1707</v>
      </c>
      <c r="H40">
        <v>1847</v>
      </c>
      <c r="I40" s="36">
        <v>2240</v>
      </c>
      <c r="J40" t="s">
        <v>14</v>
      </c>
    </row>
    <row r="41" spans="2:14" x14ac:dyDescent="0.2">
      <c r="B41" t="s">
        <v>15</v>
      </c>
      <c r="D41" s="42">
        <v>-859.3</v>
      </c>
      <c r="E41" s="16">
        <v>-936.1</v>
      </c>
      <c r="F41">
        <v>-1144</v>
      </c>
      <c r="G41">
        <v>-1314</v>
      </c>
      <c r="H41">
        <v>-1427</v>
      </c>
      <c r="I41" s="36">
        <v>-1732</v>
      </c>
      <c r="J41" t="s">
        <v>424</v>
      </c>
    </row>
    <row r="42" spans="2:14" x14ac:dyDescent="0.2">
      <c r="B42" s="14" t="s">
        <v>16</v>
      </c>
      <c r="C42" s="15"/>
      <c r="D42" s="43">
        <v>254.9</v>
      </c>
      <c r="E42" s="19">
        <v>270.8</v>
      </c>
      <c r="F42" s="14">
        <v>330</v>
      </c>
      <c r="G42" s="14">
        <v>393</v>
      </c>
      <c r="H42" s="14">
        <v>420</v>
      </c>
      <c r="I42" s="40">
        <v>508</v>
      </c>
      <c r="J42" t="s">
        <v>159</v>
      </c>
    </row>
    <row r="43" spans="2:14" x14ac:dyDescent="0.2">
      <c r="B43" t="s">
        <v>17</v>
      </c>
      <c r="D43" s="42">
        <v>-84.8</v>
      </c>
      <c r="E43" s="16">
        <v>-90.2</v>
      </c>
      <c r="F43">
        <v>-99</v>
      </c>
      <c r="G43">
        <v>-107</v>
      </c>
      <c r="H43">
        <v>-111</v>
      </c>
      <c r="I43" s="36">
        <v>-128</v>
      </c>
      <c r="J43" t="s">
        <v>186</v>
      </c>
    </row>
    <row r="44" spans="2:14" x14ac:dyDescent="0.2">
      <c r="B44" t="s">
        <v>18</v>
      </c>
      <c r="D44" s="42">
        <v>-76.3</v>
      </c>
      <c r="E44" s="16">
        <v>-87.2</v>
      </c>
      <c r="F44">
        <v>-83</v>
      </c>
      <c r="G44">
        <v>-92</v>
      </c>
      <c r="H44">
        <v>-118</v>
      </c>
      <c r="I44" s="36">
        <v>-162</v>
      </c>
      <c r="J44" t="s">
        <v>186</v>
      </c>
    </row>
    <row r="45" spans="2:14" x14ac:dyDescent="0.2">
      <c r="B45" t="s">
        <v>19</v>
      </c>
      <c r="D45" s="42">
        <v>-31</v>
      </c>
      <c r="E45" s="16">
        <v>-25.1</v>
      </c>
      <c r="F45">
        <v>-31</v>
      </c>
      <c r="G45">
        <v>-36</v>
      </c>
      <c r="H45">
        <v>-30</v>
      </c>
      <c r="I45" s="36">
        <v>-32</v>
      </c>
      <c r="J45" t="s">
        <v>192</v>
      </c>
    </row>
    <row r="46" spans="2:14" x14ac:dyDescent="0.2">
      <c r="B46" t="s">
        <v>20</v>
      </c>
      <c r="D46" s="42">
        <v>25.3</v>
      </c>
      <c r="E46" s="16">
        <v>18.899999999999999</v>
      </c>
      <c r="F46">
        <v>29</v>
      </c>
      <c r="G46">
        <v>21</v>
      </c>
      <c r="H46">
        <v>22</v>
      </c>
      <c r="I46" s="36">
        <v>22</v>
      </c>
      <c r="J46" t="s">
        <v>425</v>
      </c>
    </row>
    <row r="47" spans="2:14" x14ac:dyDescent="0.2">
      <c r="B47" t="s">
        <v>21</v>
      </c>
      <c r="D47" s="42">
        <v>-24.8</v>
      </c>
      <c r="E47" s="16">
        <v>-16.100000000000001</v>
      </c>
      <c r="F47">
        <v>-18</v>
      </c>
      <c r="G47">
        <v>-21</v>
      </c>
      <c r="H47">
        <v>-21</v>
      </c>
      <c r="I47" s="36">
        <v>-24</v>
      </c>
      <c r="J47" t="s">
        <v>425</v>
      </c>
    </row>
    <row r="48" spans="2:14" x14ac:dyDescent="0.2">
      <c r="B48" t="s">
        <v>30</v>
      </c>
      <c r="D48" s="42">
        <v>-1.2</v>
      </c>
      <c r="E48" s="16">
        <v>-2.6</v>
      </c>
      <c r="F48">
        <v>-2</v>
      </c>
      <c r="G48">
        <v>0</v>
      </c>
      <c r="H48">
        <v>0</v>
      </c>
      <c r="I48" s="36">
        <v>3</v>
      </c>
      <c r="J48" t="s">
        <v>425</v>
      </c>
    </row>
    <row r="49" spans="2:10" x14ac:dyDescent="0.2">
      <c r="B49" t="s">
        <v>31</v>
      </c>
      <c r="C49" s="12"/>
      <c r="D49" s="42">
        <v>0</v>
      </c>
      <c r="E49" s="16">
        <v>0</v>
      </c>
      <c r="F49">
        <v>0</v>
      </c>
      <c r="G49">
        <v>8</v>
      </c>
      <c r="H49">
        <v>5</v>
      </c>
      <c r="I49" s="36">
        <v>-3</v>
      </c>
      <c r="J49" t="s">
        <v>425</v>
      </c>
    </row>
    <row r="50" spans="2:10" x14ac:dyDescent="0.2">
      <c r="B50" s="14" t="s">
        <v>32</v>
      </c>
      <c r="C50" s="15"/>
      <c r="D50" s="43">
        <v>62.1</v>
      </c>
      <c r="E50" s="19">
        <v>68.5</v>
      </c>
      <c r="F50" s="14">
        <v>126</v>
      </c>
      <c r="G50" s="14">
        <v>166</v>
      </c>
      <c r="H50" s="14">
        <v>166</v>
      </c>
      <c r="I50" s="40">
        <v>185</v>
      </c>
      <c r="J50" t="s">
        <v>426</v>
      </c>
    </row>
    <row r="51" spans="2:10" x14ac:dyDescent="0.2">
      <c r="B51" t="s">
        <v>22</v>
      </c>
      <c r="D51" s="42">
        <v>58.9</v>
      </c>
      <c r="E51" s="16">
        <v>4</v>
      </c>
      <c r="F51">
        <v>4</v>
      </c>
      <c r="G51">
        <v>9</v>
      </c>
      <c r="H51">
        <v>18</v>
      </c>
      <c r="I51" s="36">
        <v>31</v>
      </c>
      <c r="J51" t="s">
        <v>435</v>
      </c>
    </row>
    <row r="52" spans="2:10" x14ac:dyDescent="0.2">
      <c r="B52" t="s">
        <v>23</v>
      </c>
      <c r="D52" s="42">
        <v>-83.5</v>
      </c>
      <c r="E52" s="16">
        <v>-137.69999999999999</v>
      </c>
      <c r="F52">
        <v>-42</v>
      </c>
      <c r="G52">
        <v>-44</v>
      </c>
      <c r="H52">
        <v>-82</v>
      </c>
      <c r="I52" s="36">
        <v>-100</v>
      </c>
      <c r="J52" t="s">
        <v>434</v>
      </c>
    </row>
    <row r="53" spans="2:10" x14ac:dyDescent="0.2">
      <c r="B53" t="s">
        <v>34</v>
      </c>
      <c r="D53" s="42">
        <v>-1.9</v>
      </c>
      <c r="E53" s="16">
        <v>-10</v>
      </c>
      <c r="F53">
        <v>-3</v>
      </c>
      <c r="G53">
        <v>-1</v>
      </c>
      <c r="H53">
        <v>-7</v>
      </c>
      <c r="I53" s="36">
        <v>1</v>
      </c>
      <c r="J53" t="s">
        <v>436</v>
      </c>
    </row>
    <row r="54" spans="2:10" ht="17" thickBot="1" x14ac:dyDescent="0.25">
      <c r="B54" s="25" t="s">
        <v>24</v>
      </c>
      <c r="C54" s="25"/>
      <c r="D54" s="58">
        <v>-26.5</v>
      </c>
      <c r="E54" s="28">
        <v>-143.69999999999999</v>
      </c>
      <c r="F54" s="25">
        <v>-41</v>
      </c>
      <c r="G54" s="25">
        <v>-37</v>
      </c>
      <c r="H54" s="25">
        <v>-72</v>
      </c>
      <c r="I54" s="213">
        <v>-68</v>
      </c>
    </row>
    <row r="55" spans="2:10" x14ac:dyDescent="0.2">
      <c r="B55" s="21" t="s">
        <v>26</v>
      </c>
      <c r="C55" s="22"/>
      <c r="D55" s="202">
        <v>35.6</v>
      </c>
      <c r="E55" s="29">
        <v>-75.2</v>
      </c>
      <c r="F55" s="21">
        <v>85</v>
      </c>
      <c r="G55" s="21">
        <v>130</v>
      </c>
      <c r="H55" s="21">
        <v>94</v>
      </c>
      <c r="I55" s="212">
        <v>117</v>
      </c>
      <c r="J55" t="s">
        <v>427</v>
      </c>
    </row>
    <row r="56" spans="2:10" x14ac:dyDescent="0.2">
      <c r="B56" t="s">
        <v>25</v>
      </c>
      <c r="D56" s="42">
        <v>-27.4</v>
      </c>
      <c r="E56" s="16">
        <v>10.7</v>
      </c>
      <c r="F56">
        <v>-22</v>
      </c>
      <c r="G56">
        <v>-49</v>
      </c>
      <c r="H56">
        <v>-36</v>
      </c>
      <c r="I56" s="36">
        <v>-12</v>
      </c>
      <c r="J56" t="s">
        <v>168</v>
      </c>
    </row>
    <row r="57" spans="2:10" ht="17" thickBot="1" x14ac:dyDescent="0.25">
      <c r="B57" s="25" t="s">
        <v>35</v>
      </c>
      <c r="C57" s="26"/>
      <c r="D57" s="58">
        <v>8.1999999999999993</v>
      </c>
      <c r="E57" s="28">
        <v>-64.5</v>
      </c>
      <c r="F57" s="25">
        <v>63</v>
      </c>
      <c r="G57" s="25">
        <v>80</v>
      </c>
      <c r="H57" s="25">
        <v>58</v>
      </c>
      <c r="I57" s="213">
        <v>106</v>
      </c>
      <c r="J57" t="s">
        <v>427</v>
      </c>
    </row>
    <row r="58" spans="2:10" x14ac:dyDescent="0.2">
      <c r="B58" t="s">
        <v>33</v>
      </c>
      <c r="D58" s="42">
        <v>5.9</v>
      </c>
      <c r="E58" s="16">
        <v>-65.2</v>
      </c>
      <c r="F58">
        <v>63</v>
      </c>
      <c r="G58">
        <v>78</v>
      </c>
      <c r="H58">
        <v>56</v>
      </c>
      <c r="I58" s="36">
        <v>108</v>
      </c>
      <c r="J58" t="s">
        <v>429</v>
      </c>
    </row>
    <row r="59" spans="2:10" x14ac:dyDescent="0.2">
      <c r="B59" t="s">
        <v>27</v>
      </c>
      <c r="D59" s="42">
        <v>2.2999999999999998</v>
      </c>
      <c r="E59" s="16">
        <v>0.7</v>
      </c>
      <c r="F59">
        <v>0</v>
      </c>
      <c r="G59">
        <v>2</v>
      </c>
      <c r="H59">
        <v>2</v>
      </c>
      <c r="I59" s="36">
        <v>-2</v>
      </c>
      <c r="J59" t="s">
        <v>430</v>
      </c>
    </row>
    <row r="60" spans="2:10" x14ac:dyDescent="0.2">
      <c r="B60" s="14" t="s">
        <v>28</v>
      </c>
      <c r="C60" s="15"/>
      <c r="D60" s="47"/>
      <c r="E60" s="15"/>
      <c r="F60" s="15"/>
      <c r="G60" s="15"/>
      <c r="H60" s="15"/>
      <c r="I60" s="48"/>
    </row>
    <row r="61" spans="2:10" x14ac:dyDescent="0.2">
      <c r="B61" t="s">
        <v>29</v>
      </c>
      <c r="D61" s="51">
        <v>7.0000000000000007E-2</v>
      </c>
      <c r="E61" s="13">
        <v>-0.75</v>
      </c>
      <c r="F61" s="13">
        <v>0.6</v>
      </c>
      <c r="G61" s="13">
        <v>0.75</v>
      </c>
      <c r="H61" s="13">
        <v>0.53</v>
      </c>
      <c r="I61" s="41">
        <v>0.93</v>
      </c>
      <c r="J61" t="s">
        <v>432</v>
      </c>
    </row>
  </sheetData>
  <conditionalFormatting sqref="A41:A6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{95415A50-43EA-C340-AD3E-CB55D27E7C09}</x14:id>
        </ext>
      </extLst>
    </cfRule>
  </conditionalFormatting>
  <dataValidations count="1">
    <dataValidation type="list" allowBlank="1" showInputMessage="1" showErrorMessage="1" sqref="J40:J61" xr:uid="{9EC354BB-E8EA-F34F-9C67-2002E1B50E0A}">
      <formula1>$B$11:$B$28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415A50-43EA-C340-AD3E-CB55D27E7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A41:A63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6859-5DE4-2349-9B7F-4625795B1ED2}">
  <dimension ref="A1:O176"/>
  <sheetViews>
    <sheetView showGridLines="0" topLeftCell="A13" zoomScaleNormal="110" workbookViewId="0">
      <selection activeCell="J44" sqref="J44:N44"/>
    </sheetView>
  </sheetViews>
  <sheetFormatPr baseColWidth="10" defaultRowHeight="16" x14ac:dyDescent="0.2"/>
  <cols>
    <col min="2" max="2" width="50.83203125" customWidth="1"/>
    <col min="4" max="9" width="12.33203125" bestFit="1" customWidth="1"/>
    <col min="10" max="10" width="12.5" customWidth="1"/>
    <col min="11" max="12" width="12.33203125" bestFit="1" customWidth="1"/>
    <col min="13" max="13" width="12.5" bestFit="1" customWidth="1"/>
    <col min="14" max="14" width="12.33203125" bestFit="1" customWidth="1"/>
  </cols>
  <sheetData>
    <row r="1" spans="1:15" ht="25" thickBot="1" x14ac:dyDescent="0.35">
      <c r="A1" s="10" t="str">
        <f>_xlfn.CONCAT(Inputs!C7, " - ", "Balance Sheet", " - ", "in ", Inputs!C9, " ", Inputs!C10)</f>
        <v>HAG - Balance Sheet - in Euro millions</v>
      </c>
      <c r="B1" s="6"/>
      <c r="C1" s="6"/>
      <c r="D1" s="31"/>
      <c r="E1" s="6"/>
      <c r="F1" s="6"/>
      <c r="G1" s="6"/>
      <c r="H1" s="6"/>
      <c r="I1" s="35"/>
      <c r="J1" s="6"/>
      <c r="K1" s="6"/>
      <c r="L1" s="6"/>
      <c r="M1" s="6"/>
      <c r="N1" s="6"/>
    </row>
    <row r="2" spans="1:15" ht="17" thickTop="1" x14ac:dyDescent="0.2">
      <c r="D2" s="32"/>
      <c r="I2" s="36"/>
    </row>
    <row r="3" spans="1:15" x14ac:dyDescent="0.2">
      <c r="D3" s="32"/>
      <c r="I3" s="36"/>
    </row>
    <row r="4" spans="1:15" x14ac:dyDescent="0.2">
      <c r="B4" t="s">
        <v>9</v>
      </c>
      <c r="C4" s="7"/>
      <c r="D4" s="33">
        <f>EDATE(Inputs!$C$8, D5*12)</f>
        <v>43830</v>
      </c>
      <c r="E4" s="9">
        <f>EDATE(Inputs!$C$8, E5*12)</f>
        <v>44196</v>
      </c>
      <c r="F4" s="9">
        <f>EDATE(Inputs!$C$8, F5*12)</f>
        <v>44561</v>
      </c>
      <c r="G4" s="9">
        <f>EDATE(Inputs!$C$8, G5*12)</f>
        <v>44926</v>
      </c>
      <c r="H4" s="9">
        <f>EDATE(Inputs!$C$8, H5*12)</f>
        <v>45291</v>
      </c>
      <c r="I4" s="37">
        <f>EDATE(Inputs!$C$8, I5*12)</f>
        <v>45657</v>
      </c>
      <c r="J4" s="7">
        <f>EDATE(Inputs!$C$8, J5*12)</f>
        <v>46022</v>
      </c>
      <c r="K4" s="9">
        <f>EDATE(Inputs!$C$8, K5*12)</f>
        <v>46387</v>
      </c>
      <c r="L4" s="9">
        <f>EDATE(Inputs!$C$8, L5*12)</f>
        <v>46752</v>
      </c>
      <c r="M4" s="9">
        <f>EDATE(Inputs!$C$8, M5*12)</f>
        <v>47118</v>
      </c>
      <c r="N4" s="9">
        <f>EDATE(Inputs!$C$8, N5*12)</f>
        <v>47483</v>
      </c>
    </row>
    <row r="5" spans="1:15" x14ac:dyDescent="0.2">
      <c r="B5" t="s">
        <v>10</v>
      </c>
      <c r="C5" s="8"/>
      <c r="D5" s="34">
        <v>-5</v>
      </c>
      <c r="E5" s="8">
        <v>-4</v>
      </c>
      <c r="F5" s="8">
        <v>-3</v>
      </c>
      <c r="G5" s="8">
        <v>-2</v>
      </c>
      <c r="H5" s="8">
        <v>-1</v>
      </c>
      <c r="I5" s="38">
        <v>0</v>
      </c>
      <c r="J5" s="8">
        <v>1</v>
      </c>
      <c r="K5" s="8">
        <v>2</v>
      </c>
      <c r="L5" s="8">
        <v>3</v>
      </c>
      <c r="M5" s="8">
        <v>4</v>
      </c>
      <c r="N5" s="8">
        <v>5</v>
      </c>
    </row>
    <row r="6" spans="1:15" x14ac:dyDescent="0.2">
      <c r="B6" t="s">
        <v>11</v>
      </c>
      <c r="C6" s="8"/>
      <c r="D6" s="34" t="str">
        <f>_xlfn.CONCAT(Inputs!$C$9, " ", Inputs!$C$10)</f>
        <v>Euro millions</v>
      </c>
      <c r="E6" s="8" t="str">
        <f>_xlfn.CONCAT(Inputs!$C$9, " ", Inputs!$C$10)</f>
        <v>Euro millions</v>
      </c>
      <c r="F6" s="8" t="str">
        <f>_xlfn.CONCAT(Inputs!$C$9, " ", Inputs!$C$10)</f>
        <v>Euro millions</v>
      </c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3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</row>
    <row r="7" spans="1:15" x14ac:dyDescent="0.2">
      <c r="B7" t="s">
        <v>12</v>
      </c>
      <c r="C7" s="8"/>
      <c r="D7" s="34" t="str">
        <f>IF(D5&lt;=0, "Historical", "Forecasted")</f>
        <v>Historical</v>
      </c>
      <c r="E7" s="8" t="str">
        <f>IF(E5&lt;=0, "Historical", "Forecasted")</f>
        <v>Historical</v>
      </c>
      <c r="F7" s="8" t="str">
        <f t="shared" ref="F7:N7" si="0">IF(F5&lt;=0, "Historical", "Forecasted")</f>
        <v>Historical</v>
      </c>
      <c r="G7" s="8" t="str">
        <f t="shared" si="0"/>
        <v>Historical</v>
      </c>
      <c r="H7" s="8" t="str">
        <f t="shared" si="0"/>
        <v>Historical</v>
      </c>
      <c r="I7" s="38" t="str">
        <f t="shared" si="0"/>
        <v>Historical</v>
      </c>
      <c r="J7" s="8" t="str">
        <f t="shared" si="0"/>
        <v>Forecasted</v>
      </c>
      <c r="K7" s="8" t="str">
        <f t="shared" si="0"/>
        <v>Forecasted</v>
      </c>
      <c r="L7" s="8" t="str">
        <f t="shared" si="0"/>
        <v>Forecasted</v>
      </c>
      <c r="M7" s="8" t="str">
        <f t="shared" si="0"/>
        <v>Forecasted</v>
      </c>
      <c r="N7" s="8" t="str">
        <f t="shared" si="0"/>
        <v>Forecasted</v>
      </c>
    </row>
    <row r="8" spans="1:15" x14ac:dyDescent="0.2">
      <c r="B8" s="8"/>
      <c r="C8" s="8"/>
      <c r="D8" s="34"/>
      <c r="E8" s="8"/>
      <c r="F8" s="8"/>
      <c r="G8" s="8"/>
      <c r="H8" s="8"/>
      <c r="I8" s="38"/>
      <c r="J8" s="8"/>
      <c r="K8" s="8"/>
      <c r="L8" s="8"/>
      <c r="M8" s="8"/>
      <c r="N8" s="8"/>
    </row>
    <row r="9" spans="1:15" x14ac:dyDescent="0.2">
      <c r="B9" s="8"/>
      <c r="C9" s="8"/>
      <c r="D9" s="34"/>
      <c r="E9" s="8"/>
      <c r="F9" s="8"/>
      <c r="G9" s="8"/>
      <c r="H9" s="8"/>
      <c r="I9" s="38"/>
      <c r="J9" s="8"/>
      <c r="K9" s="8"/>
      <c r="L9" s="8"/>
      <c r="M9" s="8"/>
      <c r="N9" s="8"/>
    </row>
    <row r="10" spans="1:15" ht="25" thickBot="1" x14ac:dyDescent="0.35">
      <c r="B10" s="17" t="s">
        <v>87</v>
      </c>
      <c r="C10" s="8"/>
      <c r="D10" s="34"/>
      <c r="E10" s="8"/>
      <c r="F10" s="8"/>
      <c r="G10" s="8"/>
      <c r="H10" s="8"/>
      <c r="I10" s="38"/>
      <c r="J10" s="8"/>
      <c r="K10" s="8"/>
      <c r="L10" s="8"/>
      <c r="M10" s="8"/>
      <c r="N10" s="8"/>
    </row>
    <row r="11" spans="1:15" x14ac:dyDescent="0.2">
      <c r="B11" s="8"/>
      <c r="C11" s="8"/>
      <c r="D11" s="34"/>
      <c r="E11" s="8"/>
      <c r="F11" s="8"/>
      <c r="G11" s="8"/>
      <c r="H11" s="8"/>
      <c r="I11" s="38"/>
      <c r="J11" s="8"/>
      <c r="K11" s="8"/>
      <c r="L11" s="8"/>
      <c r="M11" s="8"/>
      <c r="N11" s="8"/>
    </row>
    <row r="12" spans="1:15" x14ac:dyDescent="0.2">
      <c r="B12" s="185" t="s">
        <v>85</v>
      </c>
      <c r="C12" s="185"/>
      <c r="D12" s="197"/>
      <c r="E12" s="186"/>
      <c r="F12" s="186"/>
      <c r="G12" s="186"/>
      <c r="H12" s="186"/>
      <c r="I12" s="195"/>
      <c r="J12" s="186"/>
      <c r="K12" s="186"/>
      <c r="L12" s="186"/>
      <c r="M12" s="186"/>
      <c r="N12" s="186"/>
    </row>
    <row r="13" spans="1:15" x14ac:dyDescent="0.2">
      <c r="B13" s="183" t="s">
        <v>364</v>
      </c>
      <c r="C13" s="184"/>
      <c r="D13" s="32"/>
      <c r="E13" s="8"/>
      <c r="F13" s="8"/>
      <c r="G13" s="8"/>
      <c r="H13" s="8"/>
      <c r="I13" s="38"/>
      <c r="J13" s="117"/>
      <c r="K13" s="117"/>
      <c r="L13" s="117"/>
      <c r="M13" s="117"/>
      <c r="N13" s="117"/>
    </row>
    <row r="14" spans="1:15" x14ac:dyDescent="0.2">
      <c r="A14" t="s">
        <v>140</v>
      </c>
      <c r="B14" s="184" t="s">
        <v>365</v>
      </c>
      <c r="D14" s="42">
        <f t="shared" ref="D14:I14" si="1">SUMIF($J$66:$J$111, $B$14,D66:D111)</f>
        <v>1040.5</v>
      </c>
      <c r="E14" s="16">
        <f t="shared" si="1"/>
        <v>1023.4000000000001</v>
      </c>
      <c r="F14" s="16">
        <f t="shared" si="1"/>
        <v>1043</v>
      </c>
      <c r="G14" s="16">
        <f t="shared" si="1"/>
        <v>1042</v>
      </c>
      <c r="H14" s="16">
        <f t="shared" si="1"/>
        <v>1057</v>
      </c>
      <c r="I14" s="16">
        <f t="shared" si="1"/>
        <v>1782</v>
      </c>
      <c r="J14" s="117">
        <f>'FA-Forecast (updated)'!M41</f>
        <v>1766.6492801949025</v>
      </c>
      <c r="K14" s="117">
        <f ca="1">'FA-Forecast (updated)'!N41</f>
        <v>1746.7552882683876</v>
      </c>
      <c r="L14" s="117">
        <f ca="1">'FA-Forecast (updated)'!O41</f>
        <v>1756.9796696924991</v>
      </c>
      <c r="M14" s="117">
        <f ca="1">'FA-Forecast (updated)'!P41</f>
        <v>1784.8072147079724</v>
      </c>
      <c r="N14" s="117">
        <f ca="1">'FA-Forecast (updated)'!Q41</f>
        <v>1840.4171119682942</v>
      </c>
    </row>
    <row r="15" spans="1:15" x14ac:dyDescent="0.2">
      <c r="A15" t="s">
        <v>140</v>
      </c>
      <c r="B15" s="184" t="s">
        <v>366</v>
      </c>
      <c r="C15" s="184"/>
      <c r="D15" s="42">
        <f t="shared" ref="D15:I15" si="2">SUMIF($J$66:$J$111, $B$15, D66:D111)</f>
        <v>247.8</v>
      </c>
      <c r="E15" s="16">
        <f t="shared" si="2"/>
        <v>246.6</v>
      </c>
      <c r="F15" s="16">
        <f t="shared" si="2"/>
        <v>249</v>
      </c>
      <c r="G15" s="16">
        <f t="shared" si="2"/>
        <v>261</v>
      </c>
      <c r="H15" s="16">
        <f t="shared" si="2"/>
        <v>329</v>
      </c>
      <c r="I15" s="16">
        <f t="shared" si="2"/>
        <v>451</v>
      </c>
      <c r="J15" s="117">
        <f ca="1">'FA-Forecast (updated)'!M51</f>
        <v>624.16864968777611</v>
      </c>
      <c r="K15" s="117">
        <f ca="1">'FA-Forecast (updated)'!N51</f>
        <v>722.74922859506933</v>
      </c>
      <c r="L15" s="117">
        <f ca="1">'FA-Forecast (updated)'!O51</f>
        <v>869.00526395838824</v>
      </c>
      <c r="M15" s="117">
        <f ca="1">'FA-Forecast (updated)'!P51</f>
        <v>1047.7958777985841</v>
      </c>
      <c r="N15" s="117">
        <f ca="1">'FA-Forecast (updated)'!Q51</f>
        <v>1276.626613002453</v>
      </c>
    </row>
    <row r="16" spans="1:15" x14ac:dyDescent="0.2">
      <c r="B16" s="184" t="s">
        <v>367</v>
      </c>
      <c r="C16" s="184"/>
      <c r="D16" s="42">
        <f t="shared" ref="D16:I16" si="3">SUMIF($J$66:$J$111, $B$16, D66:D111)</f>
        <v>69.099999999999994</v>
      </c>
      <c r="E16" s="16">
        <f t="shared" si="3"/>
        <v>12.3</v>
      </c>
      <c r="F16" s="16">
        <f t="shared" si="3"/>
        <v>22</v>
      </c>
      <c r="G16" s="16">
        <f t="shared" si="3"/>
        <v>24</v>
      </c>
      <c r="H16" s="16">
        <f t="shared" si="3"/>
        <v>26</v>
      </c>
      <c r="I16" s="16">
        <f t="shared" si="3"/>
        <v>35</v>
      </c>
      <c r="J16" s="106">
        <f>I16</f>
        <v>35</v>
      </c>
      <c r="K16" s="106">
        <f t="shared" ref="K16:N16" si="4">J16</f>
        <v>35</v>
      </c>
      <c r="L16" s="106">
        <f t="shared" si="4"/>
        <v>35</v>
      </c>
      <c r="M16" s="106">
        <f t="shared" si="4"/>
        <v>35</v>
      </c>
      <c r="N16" s="106">
        <f t="shared" si="4"/>
        <v>35</v>
      </c>
      <c r="O16" t="s">
        <v>452</v>
      </c>
    </row>
    <row r="17" spans="1:15" x14ac:dyDescent="0.2">
      <c r="B17" s="184" t="s">
        <v>325</v>
      </c>
      <c r="C17" s="184"/>
      <c r="D17" s="42">
        <f t="shared" ref="D17:I17" si="5">SUMIF($J$66:$J$111, $B$17, D66:D111)</f>
        <v>4.9000000000000004</v>
      </c>
      <c r="E17" s="16">
        <f t="shared" si="5"/>
        <v>4.8</v>
      </c>
      <c r="F17" s="16">
        <f t="shared" si="5"/>
        <v>3</v>
      </c>
      <c r="G17" s="16">
        <f t="shared" si="5"/>
        <v>2</v>
      </c>
      <c r="H17" s="16">
        <f t="shared" si="5"/>
        <v>3</v>
      </c>
      <c r="I17" s="16">
        <f t="shared" si="5"/>
        <v>20</v>
      </c>
      <c r="J17" s="117">
        <f>'BS Neu'!I17</f>
        <v>20</v>
      </c>
      <c r="K17" s="117">
        <f>'BS Neu'!J17</f>
        <v>20</v>
      </c>
      <c r="L17" s="117">
        <f>'BS Neu'!K17</f>
        <v>20</v>
      </c>
      <c r="M17" s="117">
        <f>'BS Neu'!L17</f>
        <v>20</v>
      </c>
      <c r="N17" s="117">
        <f>'BS Neu'!M17</f>
        <v>20</v>
      </c>
    </row>
    <row r="18" spans="1:15" x14ac:dyDescent="0.2">
      <c r="B18" s="184" t="s">
        <v>368</v>
      </c>
      <c r="C18" s="184"/>
      <c r="D18" s="42">
        <f t="shared" ref="D18:I18" si="6">SUMIF($J$66:$J$111, $B$18, D66:D111)</f>
        <v>30.4</v>
      </c>
      <c r="E18" s="16">
        <f t="shared" si="6"/>
        <v>26.3</v>
      </c>
      <c r="F18" s="16">
        <f t="shared" si="6"/>
        <v>11</v>
      </c>
      <c r="G18" s="16">
        <f t="shared" si="6"/>
        <v>6</v>
      </c>
      <c r="H18" s="16">
        <f t="shared" si="6"/>
        <v>9</v>
      </c>
      <c r="I18" s="16">
        <f t="shared" si="6"/>
        <v>1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5" x14ac:dyDescent="0.2">
      <c r="B19" s="185" t="s">
        <v>369</v>
      </c>
      <c r="C19" s="187"/>
      <c r="D19" s="202">
        <f>SUM(D14:D18)</f>
        <v>1392.7</v>
      </c>
      <c r="E19" s="202">
        <f t="shared" ref="E19:I19" si="7">SUM(E14:E18)</f>
        <v>1313.3999999999999</v>
      </c>
      <c r="F19" s="202">
        <f t="shared" si="7"/>
        <v>1328</v>
      </c>
      <c r="G19" s="202">
        <f t="shared" si="7"/>
        <v>1335</v>
      </c>
      <c r="H19" s="202">
        <f t="shared" si="7"/>
        <v>1424</v>
      </c>
      <c r="I19" s="202">
        <f t="shared" si="7"/>
        <v>2289</v>
      </c>
      <c r="J19" s="201">
        <f ca="1">SUM(J13:J18)</f>
        <v>2445.8179298826785</v>
      </c>
      <c r="K19" s="201">
        <f t="shared" ref="K19:N19" ca="1" si="8">SUM(K13:K18)</f>
        <v>2524.504516863457</v>
      </c>
      <c r="L19" s="201">
        <f t="shared" ca="1" si="8"/>
        <v>2680.9849336508873</v>
      </c>
      <c r="M19" s="201">
        <f t="shared" ca="1" si="8"/>
        <v>2887.6030925065565</v>
      </c>
      <c r="N19" s="201">
        <f t="shared" ca="1" si="8"/>
        <v>3172.0437249707475</v>
      </c>
    </row>
    <row r="20" spans="1:15" x14ac:dyDescent="0.2">
      <c r="B20" s="183"/>
      <c r="C20" s="184"/>
      <c r="D20" s="42"/>
      <c r="E20" s="113"/>
      <c r="F20" s="113"/>
      <c r="G20" s="113"/>
      <c r="H20" s="113"/>
      <c r="I20" s="206"/>
      <c r="J20" s="8"/>
      <c r="K20" s="8"/>
      <c r="L20" s="8"/>
      <c r="M20" s="8"/>
      <c r="N20" s="8"/>
    </row>
    <row r="21" spans="1:15" x14ac:dyDescent="0.2">
      <c r="B21" s="185" t="s">
        <v>370</v>
      </c>
      <c r="C21" s="187"/>
      <c r="D21" s="233"/>
      <c r="E21" s="130"/>
      <c r="F21" s="130"/>
      <c r="G21" s="130"/>
      <c r="H21" s="130"/>
      <c r="I21" s="131"/>
      <c r="J21" s="186"/>
      <c r="K21" s="186"/>
      <c r="L21" s="186"/>
      <c r="M21" s="186"/>
      <c r="N21" s="186"/>
    </row>
    <row r="22" spans="1:15" x14ac:dyDescent="0.2">
      <c r="A22" t="s">
        <v>140</v>
      </c>
      <c r="B22" s="184" t="s">
        <v>361</v>
      </c>
      <c r="D22" s="42">
        <f t="shared" ref="D22:I22" si="9">SUMIF($J$66:$J$111, $B$22,D66:D111)</f>
        <v>411.1</v>
      </c>
      <c r="E22" s="42">
        <f t="shared" si="9"/>
        <v>403.7</v>
      </c>
      <c r="F22" s="42">
        <f t="shared" si="9"/>
        <v>444</v>
      </c>
      <c r="G22" s="42">
        <f t="shared" si="9"/>
        <v>516</v>
      </c>
      <c r="H22" s="42">
        <f t="shared" si="9"/>
        <v>625</v>
      </c>
      <c r="I22" s="42">
        <f t="shared" si="9"/>
        <v>719</v>
      </c>
      <c r="J22" s="117">
        <f>'WC &amp; other Assets (updated) '!M16</f>
        <v>751.78082191780811</v>
      </c>
      <c r="K22" s="117">
        <f>'WC &amp; other Assets (updated) '!N16</f>
        <v>775.44763397260249</v>
      </c>
      <c r="L22" s="117">
        <f>'WC &amp; other Assets (updated) '!O16</f>
        <v>955.14491243835607</v>
      </c>
      <c r="M22" s="117">
        <f>'WC &amp; other Assets (updated) '!P16</f>
        <v>1105.0447794568765</v>
      </c>
      <c r="N22" s="117">
        <f>'WC &amp; other Assets (updated) '!Q16</f>
        <v>1327.637761319934</v>
      </c>
    </row>
    <row r="23" spans="1:15" x14ac:dyDescent="0.2">
      <c r="A23" t="s">
        <v>140</v>
      </c>
      <c r="B23" s="184" t="s">
        <v>371</v>
      </c>
      <c r="C23" s="184"/>
      <c r="D23" s="42">
        <f t="shared" ref="D23:I23" si="10">SUMIF($J$66:$J$111, $B$23,D66:D111)</f>
        <v>290.8</v>
      </c>
      <c r="E23" s="42">
        <f t="shared" si="10"/>
        <v>282</v>
      </c>
      <c r="F23" s="42">
        <f t="shared" si="10"/>
        <v>309</v>
      </c>
      <c r="G23" s="42">
        <f t="shared" si="10"/>
        <v>323</v>
      </c>
      <c r="H23" s="42">
        <f t="shared" si="10"/>
        <v>382</v>
      </c>
      <c r="I23" s="42">
        <f t="shared" si="10"/>
        <v>426</v>
      </c>
      <c r="J23" s="117">
        <f>'WC &amp; other Assets (updated) '!M25</f>
        <v>421.91780821917808</v>
      </c>
      <c r="K23" s="117">
        <f>'WC &amp; other Assets (updated) '!N25</f>
        <v>441.50745205479444</v>
      </c>
      <c r="L23" s="117">
        <f>'WC &amp; other Assets (updated) '!O25</f>
        <v>551.81691369863006</v>
      </c>
      <c r="M23" s="117">
        <f>'WC &amp; other Assets (updated) '!P25</f>
        <v>638.41872762739706</v>
      </c>
      <c r="N23" s="117">
        <f>'WC &amp; other Assets (updated) '!Q25</f>
        <v>767.01761420794503</v>
      </c>
    </row>
    <row r="24" spans="1:15" x14ac:dyDescent="0.2">
      <c r="B24" s="184" t="s">
        <v>372</v>
      </c>
      <c r="C24" s="184"/>
      <c r="D24" s="42">
        <f t="shared" ref="D24:I24" si="11">SUMIF($J$66:$J$111, $B$24,D66:D111)</f>
        <v>165.9</v>
      </c>
      <c r="E24" s="42">
        <f t="shared" si="11"/>
        <v>204.4</v>
      </c>
      <c r="F24" s="42">
        <f t="shared" si="11"/>
        <v>170</v>
      </c>
      <c r="G24" s="42">
        <f t="shared" si="11"/>
        <v>182</v>
      </c>
      <c r="H24" s="42">
        <f t="shared" si="11"/>
        <v>196</v>
      </c>
      <c r="I24" s="42">
        <f t="shared" si="11"/>
        <v>385</v>
      </c>
      <c r="J24" s="117">
        <f>'WC &amp; other Assets (updated) '!M23</f>
        <v>308</v>
      </c>
      <c r="K24" s="117">
        <f>'WC &amp; other Assets (updated) '!N23</f>
        <v>322.30043999999992</v>
      </c>
      <c r="L24" s="117">
        <f>'WC &amp; other Assets (updated) '!O23</f>
        <v>402.826347</v>
      </c>
      <c r="M24" s="117">
        <f>'WC &amp; other Assets (updated) '!P23</f>
        <v>466.0456711679999</v>
      </c>
      <c r="N24" s="117">
        <f>'WC &amp; other Assets (updated) '!Q23</f>
        <v>559.92285837179986</v>
      </c>
    </row>
    <row r="25" spans="1:15" x14ac:dyDescent="0.2">
      <c r="B25" s="184" t="s">
        <v>323</v>
      </c>
      <c r="C25" s="184"/>
      <c r="D25" s="42">
        <f t="shared" ref="D25:I25" si="12">SUMIF($J$66:$J$111, $B$25,D66:D111)</f>
        <v>58.100000000000009</v>
      </c>
      <c r="E25" s="42">
        <f t="shared" si="12"/>
        <v>98.6</v>
      </c>
      <c r="F25" s="42">
        <f t="shared" si="12"/>
        <v>177</v>
      </c>
      <c r="G25" s="42">
        <f t="shared" si="12"/>
        <v>163</v>
      </c>
      <c r="H25" s="42">
        <f t="shared" si="12"/>
        <v>150</v>
      </c>
      <c r="I25" s="42">
        <f t="shared" si="12"/>
        <v>143</v>
      </c>
      <c r="J25" s="117">
        <f>'Debt &amp; Cash'!K107+'WC &amp; other Assets (updated) '!M70</f>
        <v>301.3808746578602</v>
      </c>
      <c r="K25" s="117">
        <f>'Debt &amp; Cash'!L107+'WC &amp; other Assets (updated) '!N70</f>
        <v>315.37398866822457</v>
      </c>
      <c r="L25" s="117">
        <f>'Debt &amp; Cash'!M107+'WC &amp; other Assets (updated) '!O70</f>
        <v>394.16934024055422</v>
      </c>
      <c r="M25" s="117">
        <f>'Debt &amp; Cash'!N107+'WC &amp; other Assets (updated) '!P70</f>
        <v>456.03003898416011</v>
      </c>
      <c r="N25" s="117">
        <f>'Debt &amp; Cash'!O107+'WC &amp; other Assets (updated) '!Q70</f>
        <v>547.88974284747474</v>
      </c>
    </row>
    <row r="26" spans="1:15" ht="17" thickBot="1" x14ac:dyDescent="0.25">
      <c r="B26" s="184" t="s">
        <v>373</v>
      </c>
      <c r="C26" s="184"/>
      <c r="D26" s="42">
        <f t="shared" ref="D26:I26" si="13">SUMIF($J$66:$J$111, $B$26,D66:D111)</f>
        <v>137.4</v>
      </c>
      <c r="E26" s="42">
        <f t="shared" si="13"/>
        <v>645.5</v>
      </c>
      <c r="F26" s="42">
        <f t="shared" si="13"/>
        <v>529</v>
      </c>
      <c r="G26" s="42">
        <f t="shared" si="13"/>
        <v>460</v>
      </c>
      <c r="H26" s="42">
        <f t="shared" si="13"/>
        <v>802</v>
      </c>
      <c r="I26" s="42">
        <f t="shared" si="13"/>
        <v>733</v>
      </c>
      <c r="J26" s="314">
        <f ca="1">I26+'CF Neu '!M38</f>
        <v>936.2180084401524</v>
      </c>
      <c r="K26" s="314">
        <f ca="1">J26+'CF Neu '!N38</f>
        <v>1136.5753999086919</v>
      </c>
      <c r="L26" s="314">
        <f ca="1">K26+'CF Neu '!O38</f>
        <v>1486.0689226129216</v>
      </c>
      <c r="M26" s="314">
        <f ca="1">L26+'CF Neu '!P38</f>
        <v>1825.2818905528547</v>
      </c>
      <c r="N26" s="314">
        <f ca="1">M26+'CF Neu '!Q38</f>
        <v>2223.6018343334326</v>
      </c>
      <c r="O26" t="s">
        <v>453</v>
      </c>
    </row>
    <row r="27" spans="1:15" x14ac:dyDescent="0.2">
      <c r="B27" s="185" t="s">
        <v>374</v>
      </c>
      <c r="C27" s="187"/>
      <c r="D27" s="202">
        <f t="shared" ref="D27:N27" si="14">SUM(D22:D26)</f>
        <v>1063.3000000000002</v>
      </c>
      <c r="E27" s="202">
        <f t="shared" si="14"/>
        <v>1634.2</v>
      </c>
      <c r="F27" s="202">
        <f t="shared" si="14"/>
        <v>1629</v>
      </c>
      <c r="G27" s="202">
        <f t="shared" si="14"/>
        <v>1644</v>
      </c>
      <c r="H27" s="202">
        <f t="shared" si="14"/>
        <v>2155</v>
      </c>
      <c r="I27" s="202">
        <f t="shared" si="14"/>
        <v>2406</v>
      </c>
      <c r="J27" s="201">
        <f ca="1">SUM(J22:J26)</f>
        <v>2719.2975132349989</v>
      </c>
      <c r="K27" s="201">
        <f t="shared" ca="1" si="14"/>
        <v>2991.2049146043132</v>
      </c>
      <c r="L27" s="201">
        <f t="shared" ca="1" si="14"/>
        <v>3790.0264359904618</v>
      </c>
      <c r="M27" s="201">
        <f t="shared" ca="1" si="14"/>
        <v>4490.8211077892884</v>
      </c>
      <c r="N27" s="201">
        <f t="shared" ca="1" si="14"/>
        <v>5426.0698110805861</v>
      </c>
      <c r="O27" t="s">
        <v>441</v>
      </c>
    </row>
    <row r="28" spans="1:15" x14ac:dyDescent="0.2">
      <c r="B28" s="183"/>
      <c r="C28" s="184"/>
      <c r="D28" s="42"/>
      <c r="E28" s="16"/>
      <c r="F28" s="16"/>
      <c r="G28" s="16"/>
      <c r="H28" s="16"/>
      <c r="I28" s="127"/>
    </row>
    <row r="29" spans="1:15" ht="17" thickBot="1" x14ac:dyDescent="0.25">
      <c r="B29" s="188" t="s">
        <v>375</v>
      </c>
      <c r="C29" s="189"/>
      <c r="D29" s="60">
        <f t="shared" ref="D29:N29" si="15">SUM(D27,D19)</f>
        <v>2456</v>
      </c>
      <c r="E29" s="60">
        <f t="shared" si="15"/>
        <v>2947.6</v>
      </c>
      <c r="F29" s="60">
        <f t="shared" si="15"/>
        <v>2957</v>
      </c>
      <c r="G29" s="60">
        <f t="shared" si="15"/>
        <v>2979</v>
      </c>
      <c r="H29" s="60">
        <f t="shared" si="15"/>
        <v>3579</v>
      </c>
      <c r="I29" s="60">
        <f t="shared" si="15"/>
        <v>4695</v>
      </c>
      <c r="J29" s="217">
        <f t="shared" ca="1" si="15"/>
        <v>5165.1154431176774</v>
      </c>
      <c r="K29" s="217">
        <f t="shared" ca="1" si="15"/>
        <v>5515.7094314677706</v>
      </c>
      <c r="L29" s="217">
        <f t="shared" ca="1" si="15"/>
        <v>6471.0113696413491</v>
      </c>
      <c r="M29" s="217">
        <f t="shared" ca="1" si="15"/>
        <v>7378.4242002958454</v>
      </c>
      <c r="N29" s="217">
        <f t="shared" ca="1" si="15"/>
        <v>8598.1135360513326</v>
      </c>
    </row>
    <row r="30" spans="1:15" ht="17" thickTop="1" x14ac:dyDescent="0.2">
      <c r="B30" s="184"/>
      <c r="C30" s="184"/>
      <c r="D30" s="42"/>
      <c r="E30" s="16"/>
      <c r="F30" s="16"/>
      <c r="G30" s="16"/>
      <c r="H30" s="16"/>
      <c r="I30" s="127"/>
    </row>
    <row r="31" spans="1:15" x14ac:dyDescent="0.2">
      <c r="B31" s="183" t="s">
        <v>376</v>
      </c>
      <c r="C31" s="184"/>
      <c r="D31" s="42"/>
      <c r="E31" s="16"/>
      <c r="F31" s="16"/>
      <c r="G31" s="16"/>
      <c r="H31" s="16"/>
      <c r="I31" s="127"/>
    </row>
    <row r="32" spans="1:15" x14ac:dyDescent="0.2">
      <c r="B32" s="191" t="s">
        <v>61</v>
      </c>
      <c r="C32" s="192"/>
      <c r="D32" s="165"/>
      <c r="E32" s="166"/>
      <c r="F32" s="166"/>
      <c r="G32" s="166"/>
      <c r="H32" s="166"/>
      <c r="I32" s="167"/>
      <c r="J32" s="117"/>
      <c r="K32" s="117"/>
      <c r="L32" s="117"/>
      <c r="M32" s="117"/>
      <c r="N32" s="117"/>
    </row>
    <row r="33" spans="1:15" x14ac:dyDescent="0.2">
      <c r="A33" t="s">
        <v>140</v>
      </c>
      <c r="B33" s="184" t="s">
        <v>55</v>
      </c>
      <c r="D33" s="42">
        <f t="shared" ref="D33:I33" si="16">SUMIF($J$66:$J$112, $B$33, D66:D112)</f>
        <v>10</v>
      </c>
      <c r="E33" s="42">
        <f t="shared" si="16"/>
        <v>105</v>
      </c>
      <c r="F33" s="42">
        <f t="shared" si="16"/>
        <v>105</v>
      </c>
      <c r="G33" s="42">
        <f t="shared" si="16"/>
        <v>105</v>
      </c>
      <c r="H33" s="42">
        <f t="shared" si="16"/>
        <v>116</v>
      </c>
      <c r="I33" s="42">
        <f t="shared" si="16"/>
        <v>116</v>
      </c>
      <c r="J33" s="111">
        <v>116</v>
      </c>
      <c r="K33" s="111">
        <v>116</v>
      </c>
      <c r="L33" s="111">
        <v>116</v>
      </c>
      <c r="M33" s="111">
        <v>116</v>
      </c>
      <c r="N33" s="111">
        <v>116</v>
      </c>
      <c r="O33" t="s">
        <v>442</v>
      </c>
    </row>
    <row r="34" spans="1:15" x14ac:dyDescent="0.2">
      <c r="B34" s="184" t="s">
        <v>377</v>
      </c>
      <c r="C34" s="184"/>
      <c r="D34" s="42">
        <f t="shared" ref="D34:H34" si="17">SUMIF($J$66:$J$112,$B$34, D66:D112)</f>
        <v>346.9</v>
      </c>
      <c r="E34" s="42">
        <f t="shared" si="17"/>
        <v>510.49999999999994</v>
      </c>
      <c r="F34" s="42">
        <f t="shared" si="17"/>
        <v>472</v>
      </c>
      <c r="G34" s="42">
        <f t="shared" si="17"/>
        <v>554</v>
      </c>
      <c r="H34" s="42">
        <f t="shared" si="17"/>
        <v>645</v>
      </c>
      <c r="I34" s="42">
        <v>508</v>
      </c>
      <c r="J34" s="338">
        <v>508</v>
      </c>
      <c r="K34" s="338">
        <v>508</v>
      </c>
      <c r="L34" s="338">
        <v>508</v>
      </c>
      <c r="M34" s="338">
        <v>508</v>
      </c>
      <c r="N34" s="338">
        <v>508</v>
      </c>
      <c r="O34" t="s">
        <v>724</v>
      </c>
    </row>
    <row r="35" spans="1:15" x14ac:dyDescent="0.2">
      <c r="B35" s="184" t="s">
        <v>378</v>
      </c>
      <c r="C35" s="184"/>
      <c r="D35" s="42">
        <f t="shared" ref="D35:H35" si="18">SUMIF($J$66:$J$112,$B$35,D66:D112)</f>
        <v>-215.8</v>
      </c>
      <c r="E35" s="42">
        <f t="shared" si="18"/>
        <v>-281.60000000000002</v>
      </c>
      <c r="F35" s="42">
        <f t="shared" si="18"/>
        <v>-171</v>
      </c>
      <c r="G35" s="42">
        <f t="shared" si="18"/>
        <v>-55</v>
      </c>
      <c r="H35" s="42">
        <f t="shared" si="18"/>
        <v>62</v>
      </c>
      <c r="I35">
        <v>245</v>
      </c>
      <c r="J35" s="338">
        <f>I35+'IS Neu'!J24+'CF Neu '!M32</f>
        <v>427.05279143120015</v>
      </c>
      <c r="K35" s="338">
        <f ca="1">J35+'IS Neu'!K24+'CF Neu '!N32</f>
        <v>617.13095221977187</v>
      </c>
      <c r="L35" s="338">
        <f ca="1">K35+'IS Neu'!L24+'CF Neu '!O32</f>
        <v>863.49844125416155</v>
      </c>
      <c r="M35" s="338">
        <f ca="1">L35+'IS Neu'!M24+'CF Neu '!P32</f>
        <v>1147.0884338238948</v>
      </c>
      <c r="N35" s="338">
        <f ca="1">M35+'IS Neu'!N24+'CF Neu '!Q32</f>
        <v>1476.2899461173376</v>
      </c>
    </row>
    <row r="36" spans="1:15" x14ac:dyDescent="0.2">
      <c r="B36" s="183" t="s">
        <v>379</v>
      </c>
      <c r="C36" s="184"/>
      <c r="D36" s="44">
        <f>SUMIF($J$66:J$112,$B$36, D66:D112)</f>
        <v>141.19999999999999</v>
      </c>
      <c r="E36" s="44">
        <f ca="1">SUMIF($J$66:K$112,$B$36, E66:E112)</f>
        <v>333.9</v>
      </c>
      <c r="F36" s="44">
        <f ca="1">SUMIF($J$66:L$112,$B$36, F66:F112)</f>
        <v>406</v>
      </c>
      <c r="G36" s="44">
        <f ca="1">SUMIF($J$66:M$112,$B$36, G66:G112)</f>
        <v>604</v>
      </c>
      <c r="H36" s="44">
        <f ca="1">SUMIF($J$66:N$112,$B$36, H66:H112)</f>
        <v>822</v>
      </c>
      <c r="I36" s="44">
        <f>SUM(I33:I35)</f>
        <v>869</v>
      </c>
      <c r="J36" s="163">
        <f>SUM(J33:J35)</f>
        <v>1051.0527914312001</v>
      </c>
      <c r="K36" s="163">
        <f t="shared" ref="K36:N36" ca="1" si="19">SUM(K33:K35)</f>
        <v>1241.1309522197719</v>
      </c>
      <c r="L36" s="163">
        <f t="shared" ca="1" si="19"/>
        <v>1487.4984412541617</v>
      </c>
      <c r="M36" s="163">
        <f t="shared" ca="1" si="19"/>
        <v>1771.0884338238948</v>
      </c>
      <c r="N36" s="163">
        <f t="shared" ca="1" si="19"/>
        <v>2100.2899461173374</v>
      </c>
    </row>
    <row r="37" spans="1:15" ht="17" thickBot="1" x14ac:dyDescent="0.25">
      <c r="B37" s="184" t="s">
        <v>380</v>
      </c>
      <c r="C37" s="184"/>
      <c r="D37" s="42">
        <f>SUMIF($J$66:J$112,$B$37, D66:D112)</f>
        <v>13.6</v>
      </c>
      <c r="E37" s="42">
        <f ca="1">SUMIF($J$66:K$112,$B$37, E66:E112)</f>
        <v>12.9</v>
      </c>
      <c r="F37" s="42">
        <f ca="1">SUMIF($J$66:L$112,$B$37, F66:F112)</f>
        <v>11</v>
      </c>
      <c r="G37" s="42">
        <f ca="1">SUMIF($J$66:M$112,$B$37, G66:G112)</f>
        <v>13</v>
      </c>
      <c r="H37" s="42">
        <f ca="1">SUMIF($J$66:N$112,$B$37, H66:H112)</f>
        <v>16</v>
      </c>
      <c r="I37" s="42">
        <f ca="1">SUMIF($J$66:O$112,$B$37, I66:I112)</f>
        <v>14</v>
      </c>
      <c r="J37" s="237">
        <f ca="1">I37</f>
        <v>14</v>
      </c>
      <c r="K37" s="237">
        <f t="shared" ref="K37:N37" ca="1" si="20">J37</f>
        <v>14</v>
      </c>
      <c r="L37" s="237">
        <f t="shared" ca="1" si="20"/>
        <v>14</v>
      </c>
      <c r="M37" s="237">
        <f t="shared" ca="1" si="20"/>
        <v>14</v>
      </c>
      <c r="N37" s="237">
        <f t="shared" ca="1" si="20"/>
        <v>14</v>
      </c>
      <c r="O37" t="s">
        <v>478</v>
      </c>
    </row>
    <row r="38" spans="1:15" x14ac:dyDescent="0.2">
      <c r="B38" s="191" t="s">
        <v>381</v>
      </c>
      <c r="C38" s="192"/>
      <c r="D38" s="57">
        <f>SUM(D36,D37)</f>
        <v>154.79999999999998</v>
      </c>
      <c r="E38" s="57">
        <f t="shared" ref="E38:H38" ca="1" si="21">SUM(E36,E37)</f>
        <v>346.79999999999995</v>
      </c>
      <c r="F38" s="57">
        <f t="shared" ca="1" si="21"/>
        <v>417</v>
      </c>
      <c r="G38" s="57">
        <f t="shared" ca="1" si="21"/>
        <v>617</v>
      </c>
      <c r="H38" s="57">
        <f t="shared" ca="1" si="21"/>
        <v>838</v>
      </c>
      <c r="I38" s="57">
        <f ca="1">SUM(I36,I37)</f>
        <v>883</v>
      </c>
      <c r="J38" s="218">
        <f ca="1">SUM(J36:J37)</f>
        <v>1065.0527914312001</v>
      </c>
      <c r="K38" s="218">
        <f t="shared" ref="K38:N38" ca="1" si="22">SUM(K36:K37)</f>
        <v>1255.1309522197719</v>
      </c>
      <c r="L38" s="218">
        <f t="shared" ca="1" si="22"/>
        <v>1501.4984412541617</v>
      </c>
      <c r="M38" s="218">
        <f t="shared" ca="1" si="22"/>
        <v>1785.0884338238948</v>
      </c>
      <c r="N38" s="218">
        <f t="shared" ca="1" si="22"/>
        <v>2114.2899461173374</v>
      </c>
    </row>
    <row r="39" spans="1:15" x14ac:dyDescent="0.2">
      <c r="B39" s="183"/>
      <c r="C39" s="184"/>
      <c r="D39" s="32"/>
      <c r="I39" s="36"/>
    </row>
    <row r="40" spans="1:15" x14ac:dyDescent="0.2">
      <c r="B40" s="183" t="s">
        <v>382</v>
      </c>
      <c r="C40" s="184"/>
      <c r="D40" s="32"/>
      <c r="I40" s="36"/>
    </row>
    <row r="41" spans="1:15" x14ac:dyDescent="0.2">
      <c r="B41" s="191" t="s">
        <v>383</v>
      </c>
      <c r="C41" s="84"/>
      <c r="D41" s="32"/>
      <c r="J41" s="117"/>
      <c r="K41" s="117"/>
      <c r="L41" s="117"/>
      <c r="M41" s="117"/>
      <c r="N41" s="117"/>
    </row>
    <row r="42" spans="1:15" x14ac:dyDescent="0.2">
      <c r="B42" s="184" t="s">
        <v>384</v>
      </c>
      <c r="C42" s="184"/>
      <c r="D42" s="42">
        <f>SUMIF($J$66:J$112,$B$42, D66:D112)</f>
        <v>1035.2</v>
      </c>
      <c r="E42" s="42">
        <f ca="1">SUMIF($J$66:K$112,$B$42, E66:E112)</f>
        <v>741.59999999999991</v>
      </c>
      <c r="F42" s="42">
        <f ca="1">SUMIF($J$66:L$112,$B$42, F66:F112)</f>
        <v>761</v>
      </c>
      <c r="G42" s="42">
        <f ca="1">SUMIF($J$66:M$112,$B$42, G66:G112)</f>
        <v>759</v>
      </c>
      <c r="H42" s="42">
        <f ca="1">SUMIF($J$66:N$112,$B$42, H66:H112)</f>
        <v>812</v>
      </c>
      <c r="I42" s="42">
        <f ca="1">SUMIF($J$66:O$112,$B$42, I66:I112)</f>
        <v>1328</v>
      </c>
      <c r="J42" s="117">
        <f ca="1">'Debt &amp; Cash'!K61</f>
        <v>1326.6635877361318</v>
      </c>
      <c r="K42" s="117">
        <f ca="1">'Debt &amp; Cash'!L61</f>
        <v>1383.0843644617441</v>
      </c>
      <c r="L42" s="117">
        <f ca="1">'Debt &amp; Cash'!M61</f>
        <v>1466.4356246687134</v>
      </c>
      <c r="M42" s="117">
        <f ca="1">'Debt &amp; Cash'!N61</f>
        <v>1566.8764048085861</v>
      </c>
      <c r="N42" s="117">
        <f ca="1">'Debt &amp; Cash'!O61</f>
        <v>1694.8994795394683</v>
      </c>
    </row>
    <row r="43" spans="1:15" x14ac:dyDescent="0.2">
      <c r="B43" s="184" t="s">
        <v>385</v>
      </c>
      <c r="C43" s="184"/>
      <c r="D43" s="42">
        <f>SUMIF($J$66:J$112,$B$43, D66:D112)</f>
        <v>413.6</v>
      </c>
      <c r="E43" s="42">
        <f ca="1">SUMIF($J$66:K$112,$B$43, E66:E112)</f>
        <v>482.6</v>
      </c>
      <c r="F43" s="42">
        <f ca="1">SUMIF($J$66:L$112,$B$43, F66:F112)</f>
        <v>497</v>
      </c>
      <c r="G43" s="42">
        <f ca="1">SUMIF($J$66:M$112,$B$43, G66:G112)</f>
        <v>282</v>
      </c>
      <c r="H43" s="42">
        <f ca="1">SUMIF($J$66:N$112,$B$43, H66:H112)</f>
        <v>357</v>
      </c>
      <c r="I43" s="42">
        <f ca="1">SUMIF($J$66:O$112,$B$43, I66:I112)</f>
        <v>418</v>
      </c>
      <c r="J43" s="117">
        <f>'Debt &amp; Cash'!K137</f>
        <v>588</v>
      </c>
      <c r="K43" s="117">
        <f>'Debt &amp; Cash'!L137</f>
        <v>615.30083999999988</v>
      </c>
      <c r="L43" s="117">
        <f>'Debt &amp; Cash'!M137</f>
        <v>769.03211699999986</v>
      </c>
      <c r="M43" s="117">
        <f>'Debt &amp; Cash'!N137</f>
        <v>889.72355404799976</v>
      </c>
      <c r="N43" s="117">
        <f>'Debt &amp; Cash'!O137</f>
        <v>1068.9436387097996</v>
      </c>
    </row>
    <row r="44" spans="1:15" x14ac:dyDescent="0.2">
      <c r="B44" s="184" t="s">
        <v>386</v>
      </c>
      <c r="C44" s="184"/>
      <c r="D44" s="42">
        <f>SUMIF($J$66:J$112,$B$44, D66:D112)</f>
        <v>24.2</v>
      </c>
      <c r="E44" s="42">
        <f ca="1">SUMIF($J$66:K$112,$B$44, E66:E112)</f>
        <v>25.1</v>
      </c>
      <c r="F44" s="42">
        <f ca="1">SUMIF($J$66:L$112,$B$44, F66:F112)</f>
        <v>22</v>
      </c>
      <c r="G44" s="42">
        <f ca="1">SUMIF($J$66:M$112,$B$44, G66:G112)</f>
        <v>25</v>
      </c>
      <c r="H44" s="42">
        <f ca="1">SUMIF($J$66:N$112,$B$44, H66:H112)</f>
        <v>24</v>
      </c>
      <c r="I44" s="42">
        <f ca="1">SUMIF($J$66:O$112,$B$44, I66:I112)</f>
        <v>59</v>
      </c>
      <c r="J44" s="117">
        <f ca="1">'WC &amp; other Assets (updated) '!M83</f>
        <v>45.673906569541103</v>
      </c>
      <c r="K44" s="117">
        <f ca="1">'WC &amp; other Assets (updated) '!N83</f>
        <v>49.994134301821873</v>
      </c>
      <c r="L44" s="117">
        <f ca="1">'WC &amp; other Assets (updated) '!O83</f>
        <v>68.145468359143379</v>
      </c>
      <c r="M44" s="117">
        <f ca="1">'WC &amp; other Assets (updated) '!P83</f>
        <v>72.406693676944514</v>
      </c>
      <c r="N44" s="117">
        <f ca="1">'WC &amp; other Assets (updated) '!Q83</f>
        <v>89.102537214933193</v>
      </c>
    </row>
    <row r="45" spans="1:15" x14ac:dyDescent="0.2">
      <c r="B45" s="184" t="s">
        <v>387</v>
      </c>
      <c r="C45" s="184"/>
      <c r="D45" s="42">
        <f>SUMIF($J$66:J$112,$B$45, D66:D112)</f>
        <v>44.9</v>
      </c>
      <c r="E45" s="42">
        <f ca="1">SUMIF($J$66:K$112,$B$45, E66:E112)</f>
        <v>15.3</v>
      </c>
      <c r="F45" s="42">
        <f ca="1">SUMIF($J$66:L$112,$B$45, F66:F112)</f>
        <v>15</v>
      </c>
      <c r="G45" s="42">
        <f ca="1">SUMIF($J$66:M$112,$B$45, G66:G112)</f>
        <v>113</v>
      </c>
      <c r="H45" s="42">
        <f ca="1">SUMIF($J$66:N$112,$B$45, H66:H112)</f>
        <v>118</v>
      </c>
      <c r="I45" s="42">
        <f ca="1">SUMIF($J$66:O$112,$B$45, I66:I112)</f>
        <v>156</v>
      </c>
      <c r="J45" s="117">
        <f ca="1">'Debt &amp; Cash'!K112</f>
        <v>182.95526540901616</v>
      </c>
      <c r="K45" s="117">
        <f ca="1">'Debt &amp; Cash'!L112</f>
        <v>188.84128220090733</v>
      </c>
      <c r="L45" s="117">
        <f ca="1">'Debt &amp; Cash'!M112</f>
        <v>200.54653459720123</v>
      </c>
      <c r="M45" s="117">
        <f ca="1">'Debt &amp; Cash'!N112</f>
        <v>216.00225582235984</v>
      </c>
      <c r="N45" s="117">
        <f ca="1">'Debt &amp; Cash'!O112</f>
        <v>237.27935530297847</v>
      </c>
      <c r="O45" t="s">
        <v>571</v>
      </c>
    </row>
    <row r="46" spans="1:15" x14ac:dyDescent="0.2">
      <c r="B46" s="191" t="s">
        <v>388</v>
      </c>
      <c r="C46" s="192"/>
      <c r="D46" s="57">
        <f>SUM(D42:D45)</f>
        <v>1517.9000000000003</v>
      </c>
      <c r="E46" s="57">
        <f t="shared" ref="E46:H46" ca="1" si="23">SUM(E42:E45)</f>
        <v>1264.5999999999997</v>
      </c>
      <c r="F46" s="57">
        <f t="shared" ca="1" si="23"/>
        <v>1295</v>
      </c>
      <c r="G46" s="57">
        <f t="shared" ca="1" si="23"/>
        <v>1179</v>
      </c>
      <c r="H46" s="57">
        <f t="shared" ca="1" si="23"/>
        <v>1311</v>
      </c>
      <c r="I46" s="57">
        <f ca="1">SUM(I42:I45)</f>
        <v>1961</v>
      </c>
      <c r="J46" s="218">
        <f ca="1">SUM(J42:J45)</f>
        <v>2143.2927597146891</v>
      </c>
      <c r="K46" s="218">
        <f t="shared" ref="K46:N46" ca="1" si="24">SUM(K42:K45)</f>
        <v>2237.2206209644733</v>
      </c>
      <c r="L46" s="218">
        <f t="shared" ca="1" si="24"/>
        <v>2504.1597446250576</v>
      </c>
      <c r="M46" s="218">
        <f t="shared" ca="1" si="24"/>
        <v>2745.0089083558905</v>
      </c>
      <c r="N46" s="218">
        <f t="shared" ca="1" si="24"/>
        <v>3090.2250107671794</v>
      </c>
    </row>
    <row r="47" spans="1:15" x14ac:dyDescent="0.2">
      <c r="B47" s="183"/>
      <c r="C47" s="184"/>
      <c r="D47" s="32"/>
      <c r="I47" s="36"/>
    </row>
    <row r="48" spans="1:15" x14ac:dyDescent="0.2">
      <c r="B48" s="183" t="s">
        <v>389</v>
      </c>
      <c r="C48" s="184"/>
      <c r="D48" s="32"/>
      <c r="I48" s="36"/>
    </row>
    <row r="49" spans="1:14" x14ac:dyDescent="0.2">
      <c r="B49" s="192" t="s">
        <v>390</v>
      </c>
      <c r="C49" s="192"/>
      <c r="D49" s="42">
        <f t="shared" ref="D49:I49" si="25">SUMIF($J$66:$J$112,$B$49,D66:D112)</f>
        <v>44.8</v>
      </c>
      <c r="E49" s="42">
        <f t="shared" si="25"/>
        <v>474.8</v>
      </c>
      <c r="F49" s="42">
        <f t="shared" si="25"/>
        <v>192</v>
      </c>
      <c r="G49" s="42">
        <f t="shared" si="25"/>
        <v>34</v>
      </c>
      <c r="H49" s="42">
        <f t="shared" si="25"/>
        <v>50</v>
      </c>
      <c r="I49" s="42">
        <f t="shared" si="25"/>
        <v>121</v>
      </c>
      <c r="J49" s="117">
        <f>'Debt &amp; Cash'!K60</f>
        <v>120.9</v>
      </c>
      <c r="K49" s="117">
        <f>'Debt &amp; Cash'!L60</f>
        <v>112.5</v>
      </c>
      <c r="L49" s="117">
        <f>'Debt &amp; Cash'!M60</f>
        <v>112.5</v>
      </c>
      <c r="M49" s="117">
        <f>'Debt &amp; Cash'!N60</f>
        <v>112.5</v>
      </c>
      <c r="N49" s="117">
        <f>'Debt &amp; Cash'!O60</f>
        <v>112.5</v>
      </c>
    </row>
    <row r="50" spans="1:14" x14ac:dyDescent="0.2">
      <c r="A50" t="s">
        <v>140</v>
      </c>
      <c r="B50" s="184" t="s">
        <v>391</v>
      </c>
      <c r="C50" s="184"/>
      <c r="D50" s="42">
        <f t="shared" ref="D50:I50" si="26">SUMIF($J$66:$J$112,$B$50,D66:D112)</f>
        <v>168.8</v>
      </c>
      <c r="E50" s="42">
        <f t="shared" si="26"/>
        <v>164</v>
      </c>
      <c r="F50" s="42">
        <f t="shared" si="26"/>
        <v>269</v>
      </c>
      <c r="G50" s="42">
        <f t="shared" si="26"/>
        <v>379</v>
      </c>
      <c r="H50" s="42">
        <f t="shared" si="26"/>
        <v>457</v>
      </c>
      <c r="I50" s="42">
        <f t="shared" si="26"/>
        <v>546</v>
      </c>
      <c r="J50" s="117">
        <f>'WC &amp; other Assets (updated) '!M34</f>
        <v>483.28767123287662</v>
      </c>
      <c r="K50" s="117">
        <f>'WC &amp; other Assets (updated) '!N34</f>
        <v>498.50205041095876</v>
      </c>
      <c r="L50" s="117">
        <f>'WC &amp; other Assets (updated) '!O34</f>
        <v>614.02172942465745</v>
      </c>
      <c r="M50" s="117">
        <f>'WC &amp; other Assets (updated) '!P34</f>
        <v>710.38592965084922</v>
      </c>
      <c r="N50" s="117">
        <f>'WC &amp; other Assets (updated) '!Q34</f>
        <v>853.48141799138614</v>
      </c>
    </row>
    <row r="51" spans="1:14" x14ac:dyDescent="0.2">
      <c r="B51" s="184" t="s">
        <v>392</v>
      </c>
      <c r="C51" s="184"/>
      <c r="D51" s="42">
        <f t="shared" ref="D51:I51" si="27">SUMIF($J$66:$J$112,$B$51,D66:D112)</f>
        <v>317.10000000000002</v>
      </c>
      <c r="E51" s="42">
        <f t="shared" si="27"/>
        <v>416.8</v>
      </c>
      <c r="F51" s="42">
        <f t="shared" si="27"/>
        <v>500</v>
      </c>
      <c r="G51" s="42">
        <f t="shared" si="27"/>
        <v>488</v>
      </c>
      <c r="H51" s="42">
        <f t="shared" si="27"/>
        <v>578</v>
      </c>
      <c r="I51" s="42">
        <f t="shared" si="27"/>
        <v>776</v>
      </c>
      <c r="J51" s="117">
        <f>'WC &amp; other Assets (updated) '!M32</f>
        <v>868</v>
      </c>
      <c r="K51" s="117">
        <f>'WC &amp; other Assets (updated) '!N32</f>
        <v>908.30123999999978</v>
      </c>
      <c r="L51" s="117">
        <f>'WC &amp; other Assets (updated) '!O32</f>
        <v>1135.237887</v>
      </c>
      <c r="M51" s="117">
        <f>'WC &amp; other Assets (updated) '!P32</f>
        <v>1313.4014369279998</v>
      </c>
      <c r="N51" s="117">
        <f>'WC &amp; other Assets (updated) '!Q32</f>
        <v>1577.9644190477998</v>
      </c>
    </row>
    <row r="52" spans="1:14" x14ac:dyDescent="0.2">
      <c r="B52" s="184" t="s">
        <v>393</v>
      </c>
      <c r="C52" s="184"/>
      <c r="D52" s="42">
        <f t="shared" ref="D52:I52" si="28">SUMIF($J$66:$J$112,$B$52,D66:D112)</f>
        <v>185.1</v>
      </c>
      <c r="E52" s="42">
        <f t="shared" si="28"/>
        <v>193.6</v>
      </c>
      <c r="F52" s="42">
        <f t="shared" si="28"/>
        <v>188</v>
      </c>
      <c r="G52" s="42">
        <f t="shared" si="28"/>
        <v>181</v>
      </c>
      <c r="H52" s="42">
        <f t="shared" si="28"/>
        <v>221</v>
      </c>
      <c r="I52" s="42">
        <f t="shared" si="28"/>
        <v>257</v>
      </c>
      <c r="J52" s="117">
        <f>'Debt &amp; Cash'!K136</f>
        <v>252</v>
      </c>
      <c r="K52" s="117">
        <f>'Debt &amp; Cash'!L136</f>
        <v>263.70035999999993</v>
      </c>
      <c r="L52" s="117">
        <f>'Debt &amp; Cash'!M136</f>
        <v>329.58519299999995</v>
      </c>
      <c r="M52" s="117">
        <f>'Debt &amp; Cash'!N136</f>
        <v>381.31009459199987</v>
      </c>
      <c r="N52" s="117">
        <f>'Debt &amp; Cash'!O136</f>
        <v>458.11870230419987</v>
      </c>
    </row>
    <row r="53" spans="1:14" x14ac:dyDescent="0.2">
      <c r="B53" s="184" t="s">
        <v>394</v>
      </c>
      <c r="C53" s="184"/>
      <c r="D53" s="42">
        <f t="shared" ref="D53:I53" si="29">SUMIF($J$66:$J$112,$B$53,D66:D112)</f>
        <v>67.099999999999994</v>
      </c>
      <c r="E53" s="42">
        <f t="shared" si="29"/>
        <v>86.9</v>
      </c>
      <c r="F53" s="42">
        <f t="shared" si="29"/>
        <v>94</v>
      </c>
      <c r="G53" s="42">
        <f t="shared" si="29"/>
        <v>101</v>
      </c>
      <c r="H53" s="42">
        <f t="shared" si="29"/>
        <v>136</v>
      </c>
      <c r="I53" s="42">
        <f t="shared" si="29"/>
        <v>151</v>
      </c>
      <c r="J53" s="117">
        <f>'WC &amp; other Assets (updated) '!M77</f>
        <v>176.39999999999998</v>
      </c>
      <c r="K53" s="117">
        <f>'WC &amp; other Assets (updated) '!N77</f>
        <v>181.95324839999995</v>
      </c>
      <c r="L53" s="117">
        <f>'WC &amp; other Assets (updated) '!O77</f>
        <v>224.11793123999999</v>
      </c>
      <c r="M53" s="117">
        <f>'WC &amp; other Assets (updated) '!P77</f>
        <v>259.29086432255997</v>
      </c>
      <c r="N53" s="117">
        <f>'WC &amp; other Assets (updated) '!Q77</f>
        <v>311.52071756685592</v>
      </c>
    </row>
    <row r="54" spans="1:14" x14ac:dyDescent="0.2">
      <c r="B54" s="191" t="s">
        <v>395</v>
      </c>
      <c r="C54" s="192"/>
      <c r="D54" s="57">
        <f>SUM(D49:D53)</f>
        <v>782.90000000000009</v>
      </c>
      <c r="E54" s="57">
        <f t="shared" ref="E54:I54" si="30">SUM(E49:E53)</f>
        <v>1336.1</v>
      </c>
      <c r="F54" s="57">
        <f t="shared" si="30"/>
        <v>1243</v>
      </c>
      <c r="G54" s="57">
        <f t="shared" si="30"/>
        <v>1183</v>
      </c>
      <c r="H54" s="57">
        <f t="shared" si="30"/>
        <v>1442</v>
      </c>
      <c r="I54" s="57">
        <f t="shared" si="30"/>
        <v>1851</v>
      </c>
      <c r="J54" s="218">
        <f>SUM(J49:J53)</f>
        <v>1900.5876712328768</v>
      </c>
      <c r="K54" s="218">
        <f t="shared" ref="K54:N54" si="31">SUM(K49:K53)</f>
        <v>1964.9568988109584</v>
      </c>
      <c r="L54" s="218">
        <f t="shared" si="31"/>
        <v>2415.4627406646573</v>
      </c>
      <c r="M54" s="218">
        <f t="shared" si="31"/>
        <v>2776.8883254934094</v>
      </c>
      <c r="N54" s="218">
        <f t="shared" si="31"/>
        <v>3313.5852569102417</v>
      </c>
    </row>
    <row r="55" spans="1:14" x14ac:dyDescent="0.2">
      <c r="B55" s="183"/>
      <c r="C55" s="184"/>
      <c r="D55" s="32"/>
      <c r="I55" s="36"/>
    </row>
    <row r="56" spans="1:14" ht="17" thickBot="1" x14ac:dyDescent="0.25">
      <c r="B56" s="188" t="s">
        <v>396</v>
      </c>
      <c r="C56" s="189"/>
      <c r="D56" s="60">
        <f>SUM(D54,D46)</f>
        <v>2300.8000000000002</v>
      </c>
      <c r="E56" s="60">
        <f t="shared" ref="E56:H56" ca="1" si="32">SUM(E54,E46)</f>
        <v>2600.6999999999998</v>
      </c>
      <c r="F56" s="60">
        <f t="shared" ca="1" si="32"/>
        <v>2538</v>
      </c>
      <c r="G56" s="60">
        <f t="shared" ca="1" si="32"/>
        <v>2362</v>
      </c>
      <c r="H56" s="60">
        <f t="shared" ca="1" si="32"/>
        <v>2753</v>
      </c>
      <c r="I56" s="60">
        <f ca="1">SUM(I54,I46)</f>
        <v>3812</v>
      </c>
      <c r="J56" s="217">
        <f ca="1">SUM(J54,J46)</f>
        <v>4043.8804309475659</v>
      </c>
      <c r="K56" s="217">
        <f t="shared" ref="K56:N56" ca="1" si="33">SUM(K54,K46)</f>
        <v>4202.1775197754314</v>
      </c>
      <c r="L56" s="217">
        <f t="shared" ca="1" si="33"/>
        <v>4919.6224852897149</v>
      </c>
      <c r="M56" s="217">
        <f t="shared" ca="1" si="33"/>
        <v>5521.8972338493004</v>
      </c>
      <c r="N56" s="217">
        <f t="shared" ca="1" si="33"/>
        <v>6403.8102676774215</v>
      </c>
    </row>
    <row r="57" spans="1:14" ht="17" thickTop="1" x14ac:dyDescent="0.2">
      <c r="B57" s="183"/>
      <c r="C57" s="184"/>
      <c r="D57" s="51"/>
      <c r="E57" s="13"/>
      <c r="F57" s="13"/>
      <c r="G57" s="13"/>
      <c r="H57" s="13"/>
      <c r="I57" s="41"/>
    </row>
    <row r="58" spans="1:14" ht="17" thickBot="1" x14ac:dyDescent="0.25">
      <c r="B58" s="193" t="s">
        <v>397</v>
      </c>
      <c r="C58" s="194"/>
      <c r="D58" s="58">
        <f>SUM(D56,D38)</f>
        <v>2455.6000000000004</v>
      </c>
      <c r="E58" s="58">
        <f t="shared" ref="E58:H58" ca="1" si="34">SUM(E56,E38)</f>
        <v>2947.5</v>
      </c>
      <c r="F58" s="58">
        <f t="shared" ca="1" si="34"/>
        <v>2955</v>
      </c>
      <c r="G58" s="58">
        <f t="shared" ca="1" si="34"/>
        <v>2979</v>
      </c>
      <c r="H58" s="58">
        <f t="shared" ca="1" si="34"/>
        <v>3591</v>
      </c>
      <c r="I58" s="58">
        <f ca="1">SUM(I56,I38)</f>
        <v>4695</v>
      </c>
      <c r="J58" s="28">
        <f ca="1">SUM(J56,J38)</f>
        <v>5108.933222378766</v>
      </c>
      <c r="K58" s="28">
        <f t="shared" ref="K58:M58" ca="1" si="35">SUM(K56,K38)</f>
        <v>5457.308471995203</v>
      </c>
      <c r="L58" s="28">
        <f t="shared" ca="1" si="35"/>
        <v>6421.1209265438765</v>
      </c>
      <c r="M58" s="28">
        <f t="shared" ca="1" si="35"/>
        <v>7306.9856676731952</v>
      </c>
      <c r="N58" s="28">
        <f ca="1">SUM(N56,N38)</f>
        <v>8518.100213794758</v>
      </c>
    </row>
    <row r="59" spans="1:14" x14ac:dyDescent="0.2">
      <c r="C59" s="184"/>
    </row>
    <row r="60" spans="1:14" x14ac:dyDescent="0.2">
      <c r="B60" s="183" t="s">
        <v>347</v>
      </c>
      <c r="C60" s="184"/>
      <c r="D60" s="219">
        <f t="shared" ref="D60:N60" si="36">D29-D58</f>
        <v>0.3999999999996362</v>
      </c>
      <c r="E60" s="220">
        <f t="shared" ca="1" si="36"/>
        <v>9.9999999999909051E-2</v>
      </c>
      <c r="F60" s="220">
        <f t="shared" ca="1" si="36"/>
        <v>2</v>
      </c>
      <c r="G60" s="220">
        <f t="shared" ca="1" si="36"/>
        <v>0</v>
      </c>
      <c r="H60" s="220">
        <f t="shared" ca="1" si="36"/>
        <v>-12</v>
      </c>
      <c r="I60" s="340">
        <f ca="1">I29-I58</f>
        <v>0</v>
      </c>
      <c r="J60" s="220">
        <f ca="1">J29-J58</f>
        <v>56.182220738911383</v>
      </c>
      <c r="K60" s="220">
        <f t="shared" ca="1" si="36"/>
        <v>58.400959472567592</v>
      </c>
      <c r="L60" s="220">
        <f t="shared" ca="1" si="36"/>
        <v>49.890443097472598</v>
      </c>
      <c r="M60" s="220">
        <f t="shared" ca="1" si="36"/>
        <v>71.4385326226502</v>
      </c>
      <c r="N60" s="221">
        <f t="shared" ca="1" si="36"/>
        <v>80.013322256574611</v>
      </c>
    </row>
    <row r="61" spans="1:14" x14ac:dyDescent="0.2">
      <c r="B61" s="183"/>
      <c r="C61" s="184"/>
    </row>
    <row r="62" spans="1:14" ht="25" thickBot="1" x14ac:dyDescent="0.35">
      <c r="B62" s="30" t="s">
        <v>86</v>
      </c>
    </row>
    <row r="63" spans="1:14" x14ac:dyDescent="0.2">
      <c r="D63">
        <v>2019</v>
      </c>
      <c r="E63">
        <v>2020</v>
      </c>
      <c r="F63">
        <v>2021</v>
      </c>
      <c r="G63">
        <v>2022</v>
      </c>
      <c r="H63">
        <v>2023</v>
      </c>
      <c r="I63" s="46">
        <v>2024</v>
      </c>
    </row>
    <row r="64" spans="1:14" ht="22" x14ac:dyDescent="0.3">
      <c r="B64" s="23" t="s">
        <v>85</v>
      </c>
    </row>
    <row r="65" spans="2:10" x14ac:dyDescent="0.2">
      <c r="B65" s="14" t="s">
        <v>38</v>
      </c>
      <c r="C65" s="15"/>
      <c r="D65" s="19">
        <v>1392.6</v>
      </c>
      <c r="E65" s="19">
        <v>1313.4</v>
      </c>
      <c r="F65" s="19">
        <v>1326</v>
      </c>
      <c r="G65" s="19">
        <v>1335</v>
      </c>
      <c r="H65" s="19">
        <v>1424</v>
      </c>
      <c r="I65" s="19">
        <v>2289</v>
      </c>
    </row>
    <row r="66" spans="2:10" x14ac:dyDescent="0.2">
      <c r="B66" t="s">
        <v>39</v>
      </c>
      <c r="D66" s="16">
        <v>637.20000000000005</v>
      </c>
      <c r="E66" s="16">
        <v>637.20000000000005</v>
      </c>
      <c r="F66" s="16">
        <v>658</v>
      </c>
      <c r="G66" s="16">
        <v>658</v>
      </c>
      <c r="H66" s="16">
        <v>658</v>
      </c>
      <c r="I66" s="16">
        <v>1115</v>
      </c>
      <c r="J66" t="s">
        <v>365</v>
      </c>
    </row>
    <row r="67" spans="2:10" x14ac:dyDescent="0.2">
      <c r="B67" t="s">
        <v>40</v>
      </c>
      <c r="D67" s="16">
        <v>403.3</v>
      </c>
      <c r="E67" s="16">
        <v>386.2</v>
      </c>
      <c r="F67" s="16">
        <v>385</v>
      </c>
      <c r="G67" s="16">
        <v>384</v>
      </c>
      <c r="H67" s="16">
        <v>399</v>
      </c>
      <c r="I67" s="16">
        <v>667</v>
      </c>
      <c r="J67" t="s">
        <v>365</v>
      </c>
    </row>
    <row r="68" spans="2:10" x14ac:dyDescent="0.2">
      <c r="B68" t="s">
        <v>41</v>
      </c>
      <c r="D68" s="16">
        <v>92.9</v>
      </c>
      <c r="E68" s="16">
        <v>103.1</v>
      </c>
      <c r="F68" s="16">
        <v>108</v>
      </c>
      <c r="G68" s="16">
        <v>121</v>
      </c>
      <c r="H68" s="16">
        <v>140</v>
      </c>
      <c r="I68" s="16">
        <v>202</v>
      </c>
      <c r="J68" t="s">
        <v>366</v>
      </c>
    </row>
    <row r="69" spans="2:10" x14ac:dyDescent="0.2">
      <c r="B69" t="s">
        <v>42</v>
      </c>
      <c r="D69" s="16">
        <v>154.9</v>
      </c>
      <c r="E69" s="16">
        <v>143.5</v>
      </c>
      <c r="F69" s="16">
        <v>141</v>
      </c>
      <c r="G69" s="16">
        <v>140</v>
      </c>
      <c r="H69" s="16">
        <v>189</v>
      </c>
      <c r="I69" s="16">
        <v>249</v>
      </c>
      <c r="J69" t="s">
        <v>366</v>
      </c>
    </row>
    <row r="70" spans="2:10" x14ac:dyDescent="0.2">
      <c r="B70" t="s">
        <v>43</v>
      </c>
      <c r="D70" s="16">
        <v>1.2</v>
      </c>
      <c r="E70" s="16">
        <v>0</v>
      </c>
      <c r="F70" s="16">
        <v>0</v>
      </c>
      <c r="G70" s="16">
        <v>1</v>
      </c>
      <c r="H70" s="16">
        <v>0</v>
      </c>
      <c r="I70" s="16">
        <v>4</v>
      </c>
      <c r="J70" t="s">
        <v>367</v>
      </c>
    </row>
    <row r="71" spans="2:10" x14ac:dyDescent="0.2">
      <c r="B71" t="s">
        <v>44</v>
      </c>
      <c r="D71" s="16">
        <v>14.7</v>
      </c>
      <c r="E71" s="16">
        <v>11.3</v>
      </c>
      <c r="F71" s="16">
        <v>21</v>
      </c>
      <c r="G71" s="16">
        <v>22</v>
      </c>
      <c r="H71" s="16">
        <v>25</v>
      </c>
      <c r="I71" s="16">
        <v>24</v>
      </c>
      <c r="J71" t="s">
        <v>367</v>
      </c>
    </row>
    <row r="72" spans="2:10" x14ac:dyDescent="0.2">
      <c r="B72" t="s">
        <v>45</v>
      </c>
      <c r="D72" s="16">
        <v>53.2</v>
      </c>
      <c r="E72" s="16">
        <v>1</v>
      </c>
      <c r="F72" s="16">
        <v>1</v>
      </c>
      <c r="G72" s="16">
        <v>1</v>
      </c>
      <c r="H72" s="16">
        <v>1</v>
      </c>
      <c r="I72" s="16">
        <v>7</v>
      </c>
      <c r="J72" t="s">
        <v>367</v>
      </c>
    </row>
    <row r="73" spans="2:10" x14ac:dyDescent="0.2">
      <c r="B73" t="s">
        <v>80</v>
      </c>
      <c r="D73" s="16">
        <v>4.9000000000000004</v>
      </c>
      <c r="E73" s="16">
        <v>4.8</v>
      </c>
      <c r="F73" s="16">
        <v>3</v>
      </c>
      <c r="G73" s="16">
        <v>2</v>
      </c>
      <c r="H73" s="16">
        <v>3</v>
      </c>
      <c r="I73" s="16">
        <v>20</v>
      </c>
      <c r="J73" t="s">
        <v>325</v>
      </c>
    </row>
    <row r="74" spans="2:10" x14ac:dyDescent="0.2">
      <c r="B74" t="s">
        <v>79</v>
      </c>
      <c r="D74" s="16">
        <v>30.4</v>
      </c>
      <c r="E74" s="16">
        <v>26.3</v>
      </c>
      <c r="F74" s="16">
        <v>11</v>
      </c>
      <c r="G74" s="16">
        <v>6</v>
      </c>
      <c r="H74" s="16">
        <v>9</v>
      </c>
      <c r="I74" s="16">
        <v>1</v>
      </c>
      <c r="J74" t="s">
        <v>368</v>
      </c>
    </row>
    <row r="75" spans="2:10" x14ac:dyDescent="0.2">
      <c r="B75" s="14" t="s">
        <v>81</v>
      </c>
      <c r="C75" s="15"/>
      <c r="D75" s="19">
        <v>1063.0999999999999</v>
      </c>
      <c r="E75" s="19">
        <v>1634.2</v>
      </c>
      <c r="F75" s="19">
        <v>1629</v>
      </c>
      <c r="G75" s="19">
        <v>1644</v>
      </c>
      <c r="H75" s="19">
        <v>2155</v>
      </c>
      <c r="I75" s="19">
        <v>2407</v>
      </c>
      <c r="J75" t="s">
        <v>369</v>
      </c>
    </row>
    <row r="76" spans="2:10" x14ac:dyDescent="0.2">
      <c r="B76" t="s">
        <v>46</v>
      </c>
      <c r="D76" s="16">
        <v>3</v>
      </c>
      <c r="E76" s="16">
        <v>11.2</v>
      </c>
      <c r="F76" s="16">
        <v>1</v>
      </c>
      <c r="G76" s="16">
        <v>0</v>
      </c>
      <c r="H76" s="16">
        <v>0</v>
      </c>
      <c r="I76" s="16">
        <v>0</v>
      </c>
      <c r="J76" t="s">
        <v>323</v>
      </c>
    </row>
    <row r="77" spans="2:10" x14ac:dyDescent="0.2">
      <c r="B77" t="s">
        <v>47</v>
      </c>
      <c r="D77" s="16">
        <v>411.1</v>
      </c>
      <c r="E77" s="16">
        <v>403.7</v>
      </c>
      <c r="F77" s="16">
        <v>444</v>
      </c>
      <c r="G77" s="16">
        <v>516</v>
      </c>
      <c r="H77" s="16">
        <v>625</v>
      </c>
      <c r="I77" s="16">
        <v>719</v>
      </c>
      <c r="J77" t="s">
        <v>361</v>
      </c>
    </row>
    <row r="78" spans="2:10" x14ac:dyDescent="0.2">
      <c r="B78" t="s">
        <v>48</v>
      </c>
      <c r="D78" s="16">
        <v>165.9</v>
      </c>
      <c r="E78" s="16">
        <v>204.4</v>
      </c>
      <c r="F78" s="16">
        <v>170</v>
      </c>
      <c r="G78" s="16">
        <v>182</v>
      </c>
      <c r="H78" s="16">
        <v>196</v>
      </c>
      <c r="I78" s="16">
        <v>385</v>
      </c>
      <c r="J78" t="s">
        <v>372</v>
      </c>
    </row>
    <row r="79" spans="2:10" x14ac:dyDescent="0.2">
      <c r="B79" t="s">
        <v>49</v>
      </c>
      <c r="D79" s="16">
        <v>290.8</v>
      </c>
      <c r="E79" s="16">
        <v>282</v>
      </c>
      <c r="F79" s="16">
        <v>309</v>
      </c>
      <c r="G79" s="16">
        <v>323</v>
      </c>
      <c r="H79" s="16">
        <v>382</v>
      </c>
      <c r="I79" s="16">
        <v>426</v>
      </c>
      <c r="J79" t="s">
        <v>371</v>
      </c>
    </row>
    <row r="80" spans="2:10" x14ac:dyDescent="0.2">
      <c r="B80" t="s">
        <v>50</v>
      </c>
      <c r="D80" s="16">
        <v>5.8</v>
      </c>
      <c r="E80" s="16">
        <v>7.1</v>
      </c>
      <c r="F80" s="16">
        <v>7</v>
      </c>
      <c r="G80" s="16">
        <v>20</v>
      </c>
      <c r="H80" s="16">
        <v>19</v>
      </c>
      <c r="I80" s="16">
        <v>8</v>
      </c>
      <c r="J80" t="s">
        <v>323</v>
      </c>
    </row>
    <row r="81" spans="2:10" x14ac:dyDescent="0.2">
      <c r="B81" t="s">
        <v>51</v>
      </c>
      <c r="D81" s="16">
        <v>46.1</v>
      </c>
      <c r="E81" s="16">
        <v>78.7</v>
      </c>
      <c r="F81" s="16">
        <v>167</v>
      </c>
      <c r="G81" s="16">
        <v>133</v>
      </c>
      <c r="H81" s="16">
        <v>116</v>
      </c>
      <c r="I81" s="16">
        <v>115</v>
      </c>
      <c r="J81" t="s">
        <v>323</v>
      </c>
    </row>
    <row r="82" spans="2:10" x14ac:dyDescent="0.2">
      <c r="B82" t="s">
        <v>52</v>
      </c>
      <c r="D82" s="16">
        <v>3.2</v>
      </c>
      <c r="E82" s="16">
        <v>1.6</v>
      </c>
      <c r="F82" s="16">
        <v>2</v>
      </c>
      <c r="G82" s="16">
        <v>10</v>
      </c>
      <c r="H82" s="16">
        <v>15</v>
      </c>
      <c r="I82" s="16">
        <v>20</v>
      </c>
      <c r="J82" t="s">
        <v>323</v>
      </c>
    </row>
    <row r="83" spans="2:10" x14ac:dyDescent="0.2">
      <c r="B83" t="s">
        <v>53</v>
      </c>
      <c r="D83" s="16">
        <v>137.4</v>
      </c>
      <c r="E83" s="16">
        <v>645.5</v>
      </c>
      <c r="F83" s="16">
        <v>529</v>
      </c>
      <c r="G83" s="16">
        <v>460</v>
      </c>
      <c r="H83" s="16">
        <v>802</v>
      </c>
      <c r="I83" s="16">
        <v>733</v>
      </c>
      <c r="J83" t="s">
        <v>373</v>
      </c>
    </row>
    <row r="84" spans="2:10" x14ac:dyDescent="0.2">
      <c r="B84" s="14" t="s">
        <v>54</v>
      </c>
      <c r="C84" s="15"/>
      <c r="D84" s="19">
        <v>2455.6999999999998</v>
      </c>
      <c r="E84" s="19">
        <v>2947.6</v>
      </c>
      <c r="F84" s="19">
        <v>2956</v>
      </c>
      <c r="G84" s="19">
        <v>2979</v>
      </c>
      <c r="H84" s="19">
        <v>3579</v>
      </c>
      <c r="I84" s="19">
        <v>4696</v>
      </c>
      <c r="J84" t="s">
        <v>375</v>
      </c>
    </row>
    <row r="85" spans="2:10" x14ac:dyDescent="0.2">
      <c r="B85" s="13"/>
      <c r="D85" s="20"/>
      <c r="E85" s="20"/>
      <c r="F85" s="20"/>
      <c r="G85" s="20"/>
      <c r="H85" s="20"/>
      <c r="I85" s="20"/>
    </row>
    <row r="86" spans="2:10" ht="22" x14ac:dyDescent="0.3">
      <c r="B86" s="24" t="s">
        <v>84</v>
      </c>
      <c r="C86" s="22"/>
      <c r="D86" s="27"/>
      <c r="E86" s="27"/>
      <c r="F86" s="27"/>
      <c r="G86" s="27"/>
      <c r="H86" s="27"/>
      <c r="I86" s="27"/>
    </row>
    <row r="87" spans="2:10" x14ac:dyDescent="0.2">
      <c r="B87" t="s">
        <v>55</v>
      </c>
      <c r="D87" s="16">
        <v>10</v>
      </c>
      <c r="E87" s="16">
        <v>105</v>
      </c>
      <c r="F87" s="16">
        <v>105</v>
      </c>
      <c r="G87" s="16">
        <v>105</v>
      </c>
      <c r="H87" s="16">
        <v>116</v>
      </c>
      <c r="I87" s="16">
        <v>116</v>
      </c>
      <c r="J87" t="s">
        <v>55</v>
      </c>
    </row>
    <row r="88" spans="2:10" x14ac:dyDescent="0.2">
      <c r="B88" t="s">
        <v>57</v>
      </c>
      <c r="D88" s="16">
        <v>396.7</v>
      </c>
      <c r="E88" s="16">
        <v>596.79999999999995</v>
      </c>
      <c r="F88" s="16">
        <v>537</v>
      </c>
      <c r="G88" s="16">
        <v>472</v>
      </c>
      <c r="H88" s="16">
        <v>613</v>
      </c>
      <c r="I88" s="16">
        <v>474</v>
      </c>
      <c r="J88" t="s">
        <v>377</v>
      </c>
    </row>
    <row r="89" spans="2:10" x14ac:dyDescent="0.2">
      <c r="B89" t="s">
        <v>56</v>
      </c>
      <c r="D89" s="16">
        <v>-49.8</v>
      </c>
      <c r="E89" s="16">
        <v>-86.3</v>
      </c>
      <c r="F89" s="16">
        <v>-65</v>
      </c>
      <c r="G89" s="16">
        <v>82</v>
      </c>
      <c r="H89" s="16">
        <v>32</v>
      </c>
      <c r="I89" s="16">
        <v>37</v>
      </c>
      <c r="J89" t="s">
        <v>377</v>
      </c>
    </row>
    <row r="90" spans="2:10" x14ac:dyDescent="0.2">
      <c r="B90" t="s">
        <v>58</v>
      </c>
      <c r="D90" s="16">
        <v>-215.8</v>
      </c>
      <c r="E90" s="16">
        <v>-281.60000000000002</v>
      </c>
      <c r="F90" s="16">
        <v>-171</v>
      </c>
      <c r="G90" s="16">
        <v>-55</v>
      </c>
      <c r="H90" s="16">
        <v>62</v>
      </c>
      <c r="I90" s="16">
        <v>245</v>
      </c>
      <c r="J90" t="s">
        <v>378</v>
      </c>
    </row>
    <row r="91" spans="2:10" x14ac:dyDescent="0.2">
      <c r="B91" s="14" t="s">
        <v>59</v>
      </c>
      <c r="C91" s="15"/>
      <c r="D91" s="19">
        <v>141.19999999999999</v>
      </c>
      <c r="E91" s="19">
        <v>333.9</v>
      </c>
      <c r="F91" s="19">
        <v>406</v>
      </c>
      <c r="G91" s="19">
        <v>604</v>
      </c>
      <c r="H91" s="19">
        <v>822</v>
      </c>
      <c r="I91" s="19">
        <v>873</v>
      </c>
      <c r="J91" t="s">
        <v>379</v>
      </c>
    </row>
    <row r="92" spans="2:10" x14ac:dyDescent="0.2">
      <c r="B92" t="s">
        <v>60</v>
      </c>
      <c r="D92" s="16">
        <v>13.6</v>
      </c>
      <c r="E92" s="16">
        <v>12.9</v>
      </c>
      <c r="F92" s="16">
        <v>11</v>
      </c>
      <c r="G92" s="16">
        <v>13</v>
      </c>
      <c r="H92" s="16">
        <v>16</v>
      </c>
      <c r="I92" s="16">
        <v>14</v>
      </c>
      <c r="J92" t="s">
        <v>380</v>
      </c>
    </row>
    <row r="93" spans="2:10" ht="17" thickBot="1" x14ac:dyDescent="0.25">
      <c r="B93" s="25" t="s">
        <v>61</v>
      </c>
      <c r="C93" s="26"/>
      <c r="D93" s="28">
        <v>154.80000000000001</v>
      </c>
      <c r="E93" s="28">
        <v>346.8</v>
      </c>
      <c r="F93" s="28">
        <v>417</v>
      </c>
      <c r="G93" s="28">
        <v>616</v>
      </c>
      <c r="H93" s="28">
        <v>838</v>
      </c>
      <c r="I93" s="28">
        <v>886</v>
      </c>
      <c r="J93" t="s">
        <v>381</v>
      </c>
    </row>
    <row r="94" spans="2:10" x14ac:dyDescent="0.2">
      <c r="B94" s="21" t="s">
        <v>62</v>
      </c>
      <c r="C94" s="22"/>
      <c r="D94" s="29">
        <v>1517.9</v>
      </c>
      <c r="E94" s="29">
        <v>1257.0999999999999</v>
      </c>
      <c r="F94" s="29">
        <v>1284</v>
      </c>
      <c r="G94" s="29">
        <v>1160</v>
      </c>
      <c r="H94" s="29">
        <v>1271</v>
      </c>
      <c r="I94" s="29">
        <v>1927</v>
      </c>
    </row>
    <row r="95" spans="2:10" x14ac:dyDescent="0.2">
      <c r="B95" t="s">
        <v>63</v>
      </c>
      <c r="D95" s="16">
        <v>413.6</v>
      </c>
      <c r="E95" s="16">
        <v>482.6</v>
      </c>
      <c r="F95" s="16">
        <v>497</v>
      </c>
      <c r="G95" s="16">
        <v>282</v>
      </c>
      <c r="H95" s="16">
        <v>357</v>
      </c>
      <c r="I95" s="16">
        <v>418</v>
      </c>
      <c r="J95" t="s">
        <v>385</v>
      </c>
    </row>
    <row r="96" spans="2:10" x14ac:dyDescent="0.2">
      <c r="B96" t="s">
        <v>64</v>
      </c>
      <c r="D96" s="16">
        <v>887.7</v>
      </c>
      <c r="E96" s="16">
        <v>601.29999999999995</v>
      </c>
      <c r="F96" s="16">
        <v>622</v>
      </c>
      <c r="G96" s="16">
        <v>619</v>
      </c>
      <c r="H96" s="16">
        <v>621</v>
      </c>
      <c r="I96" s="16">
        <v>1072</v>
      </c>
      <c r="J96" t="s">
        <v>384</v>
      </c>
    </row>
    <row r="97" spans="2:10" x14ac:dyDescent="0.2">
      <c r="B97" t="s">
        <v>65</v>
      </c>
      <c r="D97" s="16">
        <v>16.3</v>
      </c>
      <c r="E97" s="16">
        <v>16</v>
      </c>
      <c r="F97" s="16">
        <v>12</v>
      </c>
      <c r="G97" s="16">
        <v>11</v>
      </c>
      <c r="H97" s="16">
        <v>0</v>
      </c>
      <c r="I97" s="16">
        <v>4</v>
      </c>
      <c r="J97" t="s">
        <v>386</v>
      </c>
    </row>
    <row r="98" spans="2:10" x14ac:dyDescent="0.2">
      <c r="B98" t="s">
        <v>66</v>
      </c>
      <c r="D98" s="16">
        <v>147.5</v>
      </c>
      <c r="E98" s="16">
        <v>140.30000000000001</v>
      </c>
      <c r="F98" s="16">
        <v>139</v>
      </c>
      <c r="G98" s="16">
        <v>140</v>
      </c>
      <c r="H98" s="16">
        <v>191</v>
      </c>
      <c r="I98" s="16">
        <v>256</v>
      </c>
      <c r="J98" t="s">
        <v>384</v>
      </c>
    </row>
    <row r="99" spans="2:10" x14ac:dyDescent="0.2">
      <c r="B99" t="s">
        <v>67</v>
      </c>
      <c r="D99" s="16">
        <v>0.2</v>
      </c>
      <c r="E99" s="16">
        <v>0.2</v>
      </c>
      <c r="F99" s="16">
        <v>0</v>
      </c>
      <c r="G99" s="16">
        <v>3</v>
      </c>
      <c r="H99" s="16">
        <v>10</v>
      </c>
      <c r="I99" s="16">
        <v>13</v>
      </c>
      <c r="J99" t="s">
        <v>386</v>
      </c>
    </row>
    <row r="100" spans="2:10" x14ac:dyDescent="0.2">
      <c r="B100" t="s">
        <v>68</v>
      </c>
      <c r="D100" s="16">
        <v>7.7</v>
      </c>
      <c r="E100" s="16">
        <v>8.9</v>
      </c>
      <c r="F100" s="16">
        <v>10</v>
      </c>
      <c r="G100" s="16">
        <v>11</v>
      </c>
      <c r="H100" s="16">
        <v>14</v>
      </c>
      <c r="I100" s="16">
        <v>15</v>
      </c>
      <c r="J100" t="s">
        <v>386</v>
      </c>
    </row>
    <row r="101" spans="2:10" x14ac:dyDescent="0.2">
      <c r="B101" t="s">
        <v>69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27</v>
      </c>
      <c r="J101" t="s">
        <v>386</v>
      </c>
    </row>
    <row r="102" spans="2:10" x14ac:dyDescent="0.2">
      <c r="B102" t="s">
        <v>70</v>
      </c>
      <c r="D102" s="16">
        <v>44.8</v>
      </c>
      <c r="E102" s="16">
        <v>7.7</v>
      </c>
      <c r="F102" s="16">
        <v>4</v>
      </c>
      <c r="G102" s="16">
        <v>94</v>
      </c>
      <c r="H102" s="16">
        <v>79</v>
      </c>
      <c r="I102" s="16">
        <v>123</v>
      </c>
      <c r="J102" t="s">
        <v>387</v>
      </c>
    </row>
    <row r="103" spans="2:10" x14ac:dyDescent="0.2">
      <c r="B103" s="14" t="s">
        <v>82</v>
      </c>
      <c r="C103" s="14"/>
      <c r="D103" s="19">
        <v>783</v>
      </c>
      <c r="E103" s="19">
        <v>1343.7</v>
      </c>
      <c r="F103" s="19">
        <v>1255</v>
      </c>
      <c r="G103" s="19">
        <v>1203</v>
      </c>
      <c r="H103" s="19">
        <v>1470</v>
      </c>
      <c r="I103" s="19">
        <v>1883</v>
      </c>
      <c r="J103" t="s">
        <v>388</v>
      </c>
    </row>
    <row r="104" spans="2:10" x14ac:dyDescent="0.2">
      <c r="B104" t="s">
        <v>71</v>
      </c>
      <c r="D104" s="16">
        <v>185.1</v>
      </c>
      <c r="E104" s="16">
        <v>193.6</v>
      </c>
      <c r="F104" s="16">
        <v>188</v>
      </c>
      <c r="G104" s="16">
        <v>181</v>
      </c>
      <c r="H104" s="16">
        <v>221</v>
      </c>
      <c r="I104" s="16">
        <v>257</v>
      </c>
      <c r="J104" t="s">
        <v>393</v>
      </c>
    </row>
    <row r="105" spans="2:10" x14ac:dyDescent="0.2">
      <c r="B105" t="s">
        <v>72</v>
      </c>
      <c r="D105" s="16">
        <v>11.3</v>
      </c>
      <c r="E105" s="16">
        <v>363.3</v>
      </c>
      <c r="F105" s="16">
        <v>166</v>
      </c>
      <c r="G105" s="16">
        <v>12</v>
      </c>
      <c r="H105" s="16">
        <v>23</v>
      </c>
      <c r="I105" s="16">
        <v>22</v>
      </c>
      <c r="J105" t="s">
        <v>390</v>
      </c>
    </row>
    <row r="106" spans="2:10" x14ac:dyDescent="0.2">
      <c r="B106" t="s">
        <v>73</v>
      </c>
      <c r="D106" s="16">
        <v>317.10000000000002</v>
      </c>
      <c r="E106" s="16">
        <v>416.8</v>
      </c>
      <c r="F106" s="16">
        <v>500</v>
      </c>
      <c r="G106" s="16">
        <v>488</v>
      </c>
      <c r="H106" s="16">
        <v>578</v>
      </c>
      <c r="I106" s="16">
        <v>776</v>
      </c>
      <c r="J106" t="s">
        <v>392</v>
      </c>
    </row>
    <row r="107" spans="2:10" x14ac:dyDescent="0.2">
      <c r="B107" t="s">
        <v>74</v>
      </c>
      <c r="D107" s="16">
        <v>13</v>
      </c>
      <c r="E107" s="16">
        <v>13.7</v>
      </c>
      <c r="F107" s="16">
        <v>16</v>
      </c>
      <c r="G107" s="16">
        <v>18</v>
      </c>
      <c r="H107" s="16">
        <v>20</v>
      </c>
      <c r="I107" s="16">
        <v>25</v>
      </c>
      <c r="J107" t="s">
        <v>390</v>
      </c>
    </row>
    <row r="108" spans="2:10" x14ac:dyDescent="0.2">
      <c r="B108" t="s">
        <v>75</v>
      </c>
      <c r="D108" s="16">
        <v>168.8</v>
      </c>
      <c r="E108" s="16">
        <v>164</v>
      </c>
      <c r="F108" s="16">
        <v>269</v>
      </c>
      <c r="G108" s="16">
        <v>379</v>
      </c>
      <c r="H108" s="16">
        <v>457</v>
      </c>
      <c r="I108" s="16">
        <v>546</v>
      </c>
      <c r="J108" t="s">
        <v>391</v>
      </c>
    </row>
    <row r="109" spans="2:10" x14ac:dyDescent="0.2">
      <c r="B109" t="s">
        <v>76</v>
      </c>
      <c r="D109" s="16">
        <v>20.5</v>
      </c>
      <c r="E109" s="16">
        <v>97.8</v>
      </c>
      <c r="F109" s="16">
        <v>10</v>
      </c>
      <c r="G109" s="16">
        <v>4</v>
      </c>
      <c r="H109" s="16">
        <v>7</v>
      </c>
      <c r="I109" s="16">
        <v>74</v>
      </c>
      <c r="J109" t="s">
        <v>390</v>
      </c>
    </row>
    <row r="110" spans="2:10" x14ac:dyDescent="0.2">
      <c r="B110" t="s">
        <v>77</v>
      </c>
      <c r="D110" s="16">
        <v>67.099999999999994</v>
      </c>
      <c r="E110" s="16">
        <v>86.9</v>
      </c>
      <c r="F110" s="16">
        <v>94</v>
      </c>
      <c r="G110" s="16">
        <v>101</v>
      </c>
      <c r="H110" s="16">
        <v>136</v>
      </c>
      <c r="I110" s="16">
        <v>151</v>
      </c>
      <c r="J110" t="s">
        <v>394</v>
      </c>
    </row>
    <row r="111" spans="2:10" x14ac:dyDescent="0.2">
      <c r="B111" t="s">
        <v>78</v>
      </c>
      <c r="D111" s="16">
        <v>0.1</v>
      </c>
      <c r="E111" s="16">
        <v>7.6</v>
      </c>
      <c r="F111" s="16">
        <v>11</v>
      </c>
      <c r="G111" s="16">
        <v>19</v>
      </c>
      <c r="H111" s="16">
        <v>39</v>
      </c>
      <c r="I111" s="16">
        <v>33</v>
      </c>
      <c r="J111" t="s">
        <v>387</v>
      </c>
    </row>
    <row r="112" spans="2:10" x14ac:dyDescent="0.2">
      <c r="B112" s="14" t="s">
        <v>83</v>
      </c>
      <c r="C112" s="14"/>
      <c r="D112" s="19">
        <v>2455.6999999999998</v>
      </c>
      <c r="E112" s="19">
        <v>2947.6</v>
      </c>
      <c r="F112" s="19">
        <v>2956</v>
      </c>
      <c r="G112" s="19">
        <v>2979</v>
      </c>
      <c r="H112" s="19">
        <v>3579</v>
      </c>
      <c r="I112" s="19">
        <v>4696</v>
      </c>
      <c r="J112" t="s">
        <v>397</v>
      </c>
    </row>
    <row r="113" spans="2:9" x14ac:dyDescent="0.2">
      <c r="D113" s="16"/>
      <c r="E113" s="16"/>
      <c r="F113" s="16"/>
      <c r="G113" s="16"/>
      <c r="H113" s="16"/>
      <c r="I113" s="16"/>
    </row>
    <row r="115" spans="2:9" ht="30" x14ac:dyDescent="0.3">
      <c r="B115" s="177"/>
    </row>
    <row r="117" spans="2:9" x14ac:dyDescent="0.2">
      <c r="B117" s="178"/>
    </row>
    <row r="119" spans="2:9" x14ac:dyDescent="0.2">
      <c r="B119" s="179"/>
      <c r="C119" s="179"/>
      <c r="D119" s="179"/>
      <c r="E119" s="179"/>
      <c r="F119" s="179"/>
      <c r="G119" s="179"/>
      <c r="H119" s="179"/>
    </row>
    <row r="120" spans="2:9" x14ac:dyDescent="0.2">
      <c r="B120" s="179"/>
      <c r="C120" s="180"/>
      <c r="D120" s="180"/>
      <c r="E120" s="180"/>
      <c r="F120" s="180"/>
      <c r="G120" s="180"/>
      <c r="H120" s="180"/>
    </row>
    <row r="121" spans="2:9" x14ac:dyDescent="0.2">
      <c r="B121" s="179"/>
      <c r="C121" s="180"/>
      <c r="D121" s="180"/>
      <c r="E121" s="180"/>
      <c r="F121" s="180"/>
      <c r="G121" s="180"/>
      <c r="H121" s="180"/>
    </row>
    <row r="122" spans="2:9" x14ac:dyDescent="0.2">
      <c r="B122" s="180"/>
      <c r="C122" s="180"/>
      <c r="D122" s="180"/>
      <c r="E122" s="180"/>
      <c r="F122" s="180"/>
      <c r="G122" s="180"/>
      <c r="H122" s="180"/>
    </row>
    <row r="123" spans="2:9" x14ac:dyDescent="0.2">
      <c r="B123" s="180"/>
      <c r="C123" s="180"/>
      <c r="D123" s="180"/>
      <c r="E123" s="180"/>
      <c r="F123" s="180"/>
      <c r="G123" s="180"/>
      <c r="H123" s="180"/>
    </row>
    <row r="124" spans="2:9" x14ac:dyDescent="0.2">
      <c r="B124" s="180"/>
      <c r="C124" s="180"/>
      <c r="D124" s="180"/>
      <c r="E124" s="180"/>
      <c r="F124" s="180"/>
      <c r="G124" s="180"/>
      <c r="H124" s="180"/>
    </row>
    <row r="125" spans="2:9" x14ac:dyDescent="0.2">
      <c r="B125" s="180"/>
      <c r="C125" s="180"/>
      <c r="D125" s="180"/>
      <c r="E125" s="180"/>
      <c r="F125" s="180"/>
      <c r="G125" s="181"/>
      <c r="H125" s="181"/>
    </row>
    <row r="126" spans="2:9" x14ac:dyDescent="0.2">
      <c r="B126" s="180"/>
      <c r="C126" s="180"/>
      <c r="D126" s="180"/>
      <c r="E126" s="180"/>
      <c r="F126" s="180"/>
      <c r="G126" s="180"/>
      <c r="H126" s="180"/>
    </row>
    <row r="127" spans="2:9" x14ac:dyDescent="0.2">
      <c r="B127" s="180"/>
      <c r="C127" s="182"/>
      <c r="D127" s="182"/>
      <c r="E127" s="182"/>
      <c r="F127" s="182"/>
      <c r="G127" s="182"/>
      <c r="H127" s="182"/>
    </row>
    <row r="128" spans="2:9" x14ac:dyDescent="0.2">
      <c r="B128" s="180"/>
      <c r="C128" s="180"/>
      <c r="D128" s="180"/>
      <c r="E128" s="180"/>
      <c r="F128" s="180"/>
      <c r="G128" s="180"/>
      <c r="H128" s="180"/>
    </row>
    <row r="129" spans="2:8" x14ac:dyDescent="0.2">
      <c r="B129" s="179"/>
      <c r="C129" s="179"/>
      <c r="D129" s="179"/>
      <c r="E129" s="179"/>
      <c r="F129" s="179"/>
      <c r="G129" s="179"/>
      <c r="H129" s="179"/>
    </row>
    <row r="130" spans="2:8" x14ac:dyDescent="0.2">
      <c r="B130" s="180"/>
      <c r="C130" s="180"/>
      <c r="D130" s="180"/>
      <c r="E130" s="180"/>
      <c r="F130" s="180"/>
      <c r="G130" s="180"/>
      <c r="H130" s="180"/>
    </row>
    <row r="131" spans="2:8" x14ac:dyDescent="0.2">
      <c r="B131" s="179"/>
      <c r="C131" s="180"/>
      <c r="D131" s="180"/>
      <c r="E131" s="180"/>
      <c r="F131" s="180"/>
      <c r="G131" s="180"/>
      <c r="H131" s="180"/>
    </row>
    <row r="132" spans="2:8" x14ac:dyDescent="0.2">
      <c r="B132" s="180"/>
      <c r="C132" s="180"/>
      <c r="D132" s="180"/>
      <c r="E132" s="180"/>
      <c r="F132" s="180"/>
      <c r="G132" s="180"/>
      <c r="H132" s="180"/>
    </row>
    <row r="133" spans="2:8" x14ac:dyDescent="0.2">
      <c r="B133" s="180"/>
      <c r="C133" s="180"/>
      <c r="D133" s="180"/>
      <c r="E133" s="180"/>
      <c r="F133" s="180"/>
      <c r="G133" s="180"/>
      <c r="H133" s="180"/>
    </row>
    <row r="134" spans="2:8" x14ac:dyDescent="0.2">
      <c r="B134" s="180"/>
      <c r="C134" s="180"/>
      <c r="D134" s="180"/>
      <c r="E134" s="180"/>
      <c r="F134" s="180"/>
      <c r="G134" s="180"/>
      <c r="H134" s="180"/>
    </row>
    <row r="135" spans="2:8" x14ac:dyDescent="0.2">
      <c r="B135" s="180"/>
      <c r="C135" s="180"/>
      <c r="D135" s="180"/>
      <c r="E135" s="180"/>
      <c r="F135" s="180"/>
      <c r="G135" s="180"/>
      <c r="H135" s="180"/>
    </row>
    <row r="136" spans="2:8" x14ac:dyDescent="0.2">
      <c r="B136" s="180"/>
      <c r="C136" s="180"/>
      <c r="D136" s="180"/>
      <c r="E136" s="180"/>
      <c r="F136" s="180"/>
      <c r="G136" s="180"/>
      <c r="H136" s="180"/>
    </row>
    <row r="137" spans="2:8" x14ac:dyDescent="0.2">
      <c r="B137" s="180"/>
      <c r="C137" s="181"/>
      <c r="D137" s="181"/>
      <c r="E137" s="181"/>
      <c r="F137" s="181"/>
      <c r="G137" s="181"/>
      <c r="H137" s="181"/>
    </row>
    <row r="138" spans="2:8" x14ac:dyDescent="0.2">
      <c r="B138" s="180"/>
      <c r="C138" s="180"/>
      <c r="D138" s="180"/>
      <c r="E138" s="180"/>
      <c r="F138" s="180"/>
      <c r="G138" s="180"/>
      <c r="H138" s="180"/>
    </row>
    <row r="139" spans="2:8" x14ac:dyDescent="0.2">
      <c r="B139" s="179"/>
      <c r="C139" s="179"/>
      <c r="D139" s="179"/>
      <c r="E139" s="179"/>
      <c r="F139" s="179"/>
      <c r="G139" s="179"/>
      <c r="H139" s="179"/>
    </row>
    <row r="140" spans="2:8" x14ac:dyDescent="0.2">
      <c r="B140" s="180"/>
      <c r="C140" s="180"/>
      <c r="D140" s="180"/>
      <c r="E140" s="180"/>
      <c r="F140" s="180"/>
      <c r="G140" s="180"/>
      <c r="H140" s="180"/>
    </row>
    <row r="141" spans="2:8" x14ac:dyDescent="0.2">
      <c r="B141" s="179"/>
      <c r="C141" s="179"/>
      <c r="D141" s="179"/>
      <c r="E141" s="179"/>
      <c r="F141" s="179"/>
      <c r="G141" s="179"/>
      <c r="H141" s="179"/>
    </row>
    <row r="142" spans="2:8" x14ac:dyDescent="0.2">
      <c r="B142" s="180"/>
      <c r="C142" s="180"/>
      <c r="D142" s="180"/>
      <c r="E142" s="180"/>
      <c r="F142" s="180"/>
      <c r="G142" s="180"/>
      <c r="H142" s="180"/>
    </row>
    <row r="143" spans="2:8" x14ac:dyDescent="0.2">
      <c r="B143" s="179"/>
      <c r="C143" s="180"/>
      <c r="D143" s="180"/>
      <c r="E143" s="180"/>
      <c r="F143" s="180"/>
      <c r="G143" s="180"/>
      <c r="H143" s="180"/>
    </row>
    <row r="144" spans="2:8" x14ac:dyDescent="0.2">
      <c r="B144" s="179"/>
      <c r="C144" s="180"/>
      <c r="D144" s="180"/>
      <c r="E144" s="180"/>
      <c r="F144" s="180"/>
      <c r="G144" s="180"/>
      <c r="H144" s="180"/>
    </row>
    <row r="145" spans="2:8" x14ac:dyDescent="0.2">
      <c r="B145" s="180"/>
      <c r="C145" s="180"/>
      <c r="D145" s="180"/>
      <c r="E145" s="180"/>
      <c r="F145" s="180"/>
      <c r="G145" s="180"/>
      <c r="H145" s="180"/>
    </row>
    <row r="146" spans="2:8" x14ac:dyDescent="0.2">
      <c r="B146" s="180"/>
      <c r="C146" s="180"/>
      <c r="D146" s="180"/>
      <c r="E146" s="180"/>
      <c r="F146" s="180"/>
      <c r="G146" s="180"/>
      <c r="H146" s="180"/>
    </row>
    <row r="147" spans="2:8" x14ac:dyDescent="0.2">
      <c r="B147" s="180"/>
      <c r="C147" s="180"/>
      <c r="D147" s="180"/>
      <c r="E147" s="180"/>
      <c r="F147" s="180"/>
      <c r="G147" s="180"/>
      <c r="H147" s="180"/>
    </row>
    <row r="148" spans="2:8" x14ac:dyDescent="0.2">
      <c r="B148" s="180"/>
      <c r="C148" s="180"/>
      <c r="D148" s="180"/>
      <c r="E148" s="180"/>
      <c r="F148" s="180"/>
      <c r="G148" s="180"/>
      <c r="H148" s="180"/>
    </row>
    <row r="149" spans="2:8" x14ac:dyDescent="0.2">
      <c r="B149" s="180"/>
      <c r="C149" s="180"/>
      <c r="D149" s="180"/>
      <c r="E149" s="180"/>
      <c r="F149" s="180"/>
      <c r="G149" s="180"/>
      <c r="H149" s="180"/>
    </row>
    <row r="150" spans="2:8" x14ac:dyDescent="0.2">
      <c r="B150" s="180"/>
      <c r="C150" s="180"/>
      <c r="D150" s="180"/>
      <c r="E150" s="180"/>
      <c r="F150" s="180"/>
      <c r="G150" s="180"/>
      <c r="H150" s="180"/>
    </row>
    <row r="151" spans="2:8" x14ac:dyDescent="0.2">
      <c r="B151" s="179"/>
      <c r="C151" s="179"/>
      <c r="D151" s="179"/>
      <c r="E151" s="179"/>
      <c r="F151" s="179"/>
      <c r="G151" s="179"/>
      <c r="H151" s="179"/>
    </row>
    <row r="152" spans="2:8" x14ac:dyDescent="0.2">
      <c r="B152" s="180"/>
      <c r="C152" s="180"/>
      <c r="D152" s="180"/>
      <c r="E152" s="180"/>
      <c r="F152" s="180"/>
      <c r="G152" s="180"/>
      <c r="H152" s="180"/>
    </row>
    <row r="153" spans="2:8" x14ac:dyDescent="0.2">
      <c r="B153" s="179"/>
      <c r="C153" s="180"/>
      <c r="D153" s="180"/>
      <c r="E153" s="180"/>
      <c r="F153" s="180"/>
      <c r="G153" s="180"/>
      <c r="H153" s="180"/>
    </row>
    <row r="154" spans="2:8" x14ac:dyDescent="0.2">
      <c r="B154" s="179"/>
      <c r="C154" s="180"/>
      <c r="D154" s="180"/>
      <c r="E154" s="180"/>
      <c r="F154" s="180"/>
      <c r="G154" s="180"/>
      <c r="H154" s="180"/>
    </row>
    <row r="155" spans="2:8" x14ac:dyDescent="0.2">
      <c r="B155" s="180"/>
      <c r="C155" s="180"/>
      <c r="D155" s="180"/>
      <c r="E155" s="180"/>
      <c r="F155" s="180"/>
      <c r="G155" s="180"/>
      <c r="H155" s="180"/>
    </row>
    <row r="156" spans="2:8" x14ac:dyDescent="0.2">
      <c r="B156" s="180"/>
      <c r="C156" s="180"/>
      <c r="D156" s="180"/>
      <c r="E156" s="180"/>
      <c r="F156" s="180"/>
      <c r="G156" s="180"/>
      <c r="H156" s="180"/>
    </row>
    <row r="157" spans="2:8" x14ac:dyDescent="0.2">
      <c r="B157" s="180"/>
      <c r="C157" s="180"/>
      <c r="D157" s="180"/>
      <c r="E157" s="180"/>
      <c r="F157" s="180"/>
      <c r="G157" s="180"/>
      <c r="H157" s="180"/>
    </row>
    <row r="158" spans="2:8" x14ac:dyDescent="0.2">
      <c r="B158" s="180"/>
      <c r="C158" s="180"/>
      <c r="D158" s="180"/>
      <c r="E158" s="180"/>
      <c r="F158" s="180"/>
      <c r="G158" s="180"/>
      <c r="H158" s="180"/>
    </row>
    <row r="159" spans="2:8" x14ac:dyDescent="0.2">
      <c r="B159" s="180"/>
      <c r="C159" s="180"/>
      <c r="D159" s="180"/>
      <c r="E159" s="180"/>
      <c r="F159" s="180"/>
      <c r="G159" s="180"/>
      <c r="H159" s="181"/>
    </row>
    <row r="160" spans="2:8" x14ac:dyDescent="0.2">
      <c r="B160" s="180"/>
      <c r="C160" s="181"/>
      <c r="D160" s="180"/>
      <c r="E160" s="181"/>
      <c r="F160" s="180"/>
      <c r="G160" s="181"/>
      <c r="H160" s="181"/>
    </row>
    <row r="161" spans="2:8" x14ac:dyDescent="0.2">
      <c r="B161" s="180"/>
      <c r="C161" s="180"/>
      <c r="D161" s="180"/>
      <c r="E161" s="180"/>
      <c r="F161" s="180"/>
      <c r="G161" s="180"/>
      <c r="H161" s="180"/>
    </row>
    <row r="162" spans="2:8" x14ac:dyDescent="0.2">
      <c r="B162" s="179"/>
      <c r="C162" s="179"/>
      <c r="D162" s="179"/>
      <c r="E162" s="179"/>
      <c r="F162" s="179"/>
      <c r="G162" s="179"/>
      <c r="H162" s="179"/>
    </row>
    <row r="163" spans="2:8" x14ac:dyDescent="0.2">
      <c r="B163" s="180"/>
      <c r="C163" s="180"/>
      <c r="D163" s="180"/>
      <c r="E163" s="180"/>
      <c r="F163" s="180"/>
      <c r="G163" s="180"/>
      <c r="H163" s="180"/>
    </row>
    <row r="164" spans="2:8" x14ac:dyDescent="0.2">
      <c r="B164" s="179"/>
      <c r="C164" s="180"/>
      <c r="D164" s="180"/>
      <c r="E164" s="180"/>
      <c r="F164" s="180"/>
      <c r="G164" s="180"/>
      <c r="H164" s="180"/>
    </row>
    <row r="165" spans="2:8" x14ac:dyDescent="0.2">
      <c r="B165" s="180"/>
      <c r="C165" s="180"/>
      <c r="D165" s="180"/>
      <c r="E165" s="180"/>
      <c r="F165" s="180"/>
      <c r="G165" s="180"/>
      <c r="H165" s="180"/>
    </row>
    <row r="166" spans="2:8" x14ac:dyDescent="0.2">
      <c r="B166" s="180"/>
      <c r="C166" s="181"/>
      <c r="D166" s="180"/>
      <c r="E166" s="181"/>
      <c r="F166" s="181"/>
      <c r="G166" s="180"/>
      <c r="H166" s="180"/>
    </row>
    <row r="167" spans="2:8" x14ac:dyDescent="0.2">
      <c r="B167" s="180"/>
      <c r="C167" s="181"/>
      <c r="D167" s="181"/>
      <c r="E167" s="181"/>
      <c r="F167" s="181"/>
      <c r="G167" s="181"/>
      <c r="H167" s="181"/>
    </row>
    <row r="168" spans="2:8" x14ac:dyDescent="0.2">
      <c r="B168" s="180"/>
      <c r="C168" s="180"/>
      <c r="D168" s="180"/>
      <c r="E168" s="180"/>
      <c r="F168" s="180"/>
      <c r="G168" s="180"/>
      <c r="H168" s="180"/>
    </row>
    <row r="169" spans="2:8" x14ac:dyDescent="0.2">
      <c r="B169" s="180"/>
      <c r="C169" s="180"/>
      <c r="D169" s="180"/>
      <c r="E169" s="180"/>
      <c r="F169" s="180"/>
      <c r="G169" s="180"/>
      <c r="H169" s="180"/>
    </row>
    <row r="170" spans="2:8" x14ac:dyDescent="0.2">
      <c r="B170" s="180"/>
      <c r="C170" s="180"/>
      <c r="D170" s="180"/>
      <c r="E170" s="180"/>
      <c r="F170" s="180"/>
      <c r="G170" s="180"/>
      <c r="H170" s="180"/>
    </row>
    <row r="171" spans="2:8" x14ac:dyDescent="0.2">
      <c r="B171" s="180"/>
      <c r="C171" s="181"/>
      <c r="D171" s="181"/>
      <c r="E171" s="180"/>
      <c r="F171" s="181"/>
      <c r="G171" s="181"/>
      <c r="H171" s="181"/>
    </row>
    <row r="172" spans="2:8" x14ac:dyDescent="0.2">
      <c r="B172" s="179"/>
      <c r="C172" s="179"/>
      <c r="D172" s="179"/>
      <c r="E172" s="179"/>
      <c r="F172" s="179"/>
      <c r="G172" s="179"/>
      <c r="H172" s="179"/>
    </row>
    <row r="173" spans="2:8" x14ac:dyDescent="0.2">
      <c r="B173" s="180"/>
      <c r="C173" s="180"/>
      <c r="D173" s="180"/>
      <c r="E173" s="180"/>
      <c r="F173" s="180"/>
      <c r="G173" s="180"/>
      <c r="H173" s="180"/>
    </row>
    <row r="174" spans="2:8" x14ac:dyDescent="0.2">
      <c r="B174" s="179"/>
      <c r="C174" s="179"/>
      <c r="D174" s="179"/>
      <c r="E174" s="179"/>
      <c r="F174" s="179"/>
      <c r="G174" s="179"/>
      <c r="H174" s="179"/>
    </row>
    <row r="175" spans="2:8" x14ac:dyDescent="0.2">
      <c r="B175" s="180"/>
      <c r="C175" s="180"/>
      <c r="D175" s="180"/>
      <c r="E175" s="180"/>
      <c r="F175" s="180"/>
      <c r="G175" s="180"/>
      <c r="H175" s="180"/>
    </row>
    <row r="176" spans="2:8" x14ac:dyDescent="0.2">
      <c r="B176" s="179"/>
      <c r="C176" s="179"/>
      <c r="D176" s="179"/>
      <c r="E176" s="179"/>
      <c r="F176" s="179"/>
      <c r="G176" s="179"/>
      <c r="H176" s="179"/>
    </row>
  </sheetData>
  <dataValidations count="1">
    <dataValidation type="list" allowBlank="1" showInputMessage="1" showErrorMessage="1" sqref="J95:J112 J66:J93" xr:uid="{9CA79582-8878-4F45-BA77-21EBEABF1BF9}">
      <formula1>$B$12:$B$58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3472-84E8-2842-ACFE-74F4E9D0C90F}">
  <dimension ref="A1:R94"/>
  <sheetViews>
    <sheetView showGridLines="0" zoomScaleNormal="150" workbookViewId="0">
      <selection activeCell="D46" sqref="D46"/>
    </sheetView>
  </sheetViews>
  <sheetFormatPr baseColWidth="10" defaultRowHeight="16" x14ac:dyDescent="0.2"/>
  <cols>
    <col min="2" max="2" width="73" customWidth="1"/>
    <col min="8" max="17" width="11.5" bestFit="1" customWidth="1"/>
  </cols>
  <sheetData>
    <row r="1" spans="1:17" ht="25" thickBot="1" x14ac:dyDescent="0.35">
      <c r="A1" s="10" t="str">
        <f>_xlfn.CONCAT(Inputs!C7, " - ", "Cash Flow", " - ", "in ", Inputs!C9, " ", Inputs!C10)</f>
        <v>HAG - Cash Flow - in Euro millions</v>
      </c>
      <c r="B1" s="1"/>
      <c r="C1" s="6"/>
      <c r="D1" s="6"/>
      <c r="E1" s="6"/>
      <c r="F1" s="6"/>
      <c r="G1" s="31"/>
      <c r="H1" s="6"/>
      <c r="I1" s="6"/>
      <c r="J1" s="6"/>
      <c r="K1" s="6"/>
      <c r="L1" s="35"/>
      <c r="M1" s="6"/>
      <c r="N1" s="6"/>
      <c r="O1" s="6"/>
      <c r="P1" s="6"/>
      <c r="Q1" s="6"/>
    </row>
    <row r="2" spans="1:17" ht="17" thickTop="1" x14ac:dyDescent="0.2">
      <c r="G2" s="32"/>
      <c r="L2" s="36"/>
    </row>
    <row r="3" spans="1:17" x14ac:dyDescent="0.2">
      <c r="G3" s="32"/>
      <c r="L3" s="36"/>
    </row>
    <row r="4" spans="1:17" x14ac:dyDescent="0.2">
      <c r="B4" t="s">
        <v>9</v>
      </c>
      <c r="D4" s="7"/>
      <c r="E4" s="7"/>
      <c r="F4" s="7"/>
      <c r="G4" s="33">
        <f>EDATE(Inputs!$C$8, G5*12)</f>
        <v>43830</v>
      </c>
      <c r="H4" s="9">
        <f>EDATE(Inputs!$C$8, H5*12)</f>
        <v>44196</v>
      </c>
      <c r="I4" s="9">
        <f>EDATE(Inputs!$C$8, I5*12)</f>
        <v>44561</v>
      </c>
      <c r="J4" s="9">
        <f>EDATE(Inputs!$C$8, J5*12)</f>
        <v>44926</v>
      </c>
      <c r="K4" s="9">
        <f>EDATE(Inputs!$C$8, K5*12)</f>
        <v>45291</v>
      </c>
      <c r="L4" s="37">
        <f>EDATE(Inputs!$C$8, L5*12)</f>
        <v>45657</v>
      </c>
      <c r="M4" s="9">
        <f>EDATE(Inputs!$C$8, M5*12)</f>
        <v>46022</v>
      </c>
      <c r="N4" s="9">
        <f>EDATE(Inputs!$C$8, N5*12)</f>
        <v>46387</v>
      </c>
      <c r="O4" s="9">
        <f>EDATE(Inputs!$C$8, O5*12)</f>
        <v>46752</v>
      </c>
      <c r="P4" s="9">
        <f>EDATE(Inputs!$C$8, P5*12)</f>
        <v>47118</v>
      </c>
      <c r="Q4" s="9">
        <f>EDATE(Inputs!$C$8, Q5*12)</f>
        <v>47483</v>
      </c>
    </row>
    <row r="5" spans="1:17" x14ac:dyDescent="0.2">
      <c r="B5" t="s">
        <v>10</v>
      </c>
      <c r="D5" s="8"/>
      <c r="E5" s="8"/>
      <c r="F5" s="8"/>
      <c r="G5" s="34">
        <v>-5</v>
      </c>
      <c r="H5" s="8">
        <v>-4</v>
      </c>
      <c r="I5" s="8">
        <v>-3</v>
      </c>
      <c r="J5" s="8">
        <v>-2</v>
      </c>
      <c r="K5" s="8">
        <v>-1</v>
      </c>
      <c r="L5" s="38">
        <v>0</v>
      </c>
      <c r="M5" s="8">
        <v>1</v>
      </c>
      <c r="N5" s="8">
        <v>2</v>
      </c>
      <c r="O5" s="8">
        <v>3</v>
      </c>
      <c r="P5" s="8">
        <v>4</v>
      </c>
      <c r="Q5" s="8">
        <v>5</v>
      </c>
    </row>
    <row r="6" spans="1:17" x14ac:dyDescent="0.2">
      <c r="B6" t="s">
        <v>11</v>
      </c>
      <c r="D6" s="8"/>
      <c r="E6" s="8"/>
      <c r="F6" s="8"/>
      <c r="G6" s="34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3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O6" s="8" t="str">
        <f>_xlfn.CONCAT(Inputs!$C$9, " ", Inputs!$C$10)</f>
        <v>Euro millions</v>
      </c>
      <c r="P6" s="8" t="str">
        <f>_xlfn.CONCAT(Inputs!$C$9, " ", Inputs!$C$10)</f>
        <v>Euro millions</v>
      </c>
      <c r="Q6" s="8" t="str">
        <f>_xlfn.CONCAT(Inputs!$C$9, " ", Inputs!$C$10)</f>
        <v>Euro millions</v>
      </c>
    </row>
    <row r="7" spans="1:17" x14ac:dyDescent="0.2">
      <c r="B7" t="s">
        <v>12</v>
      </c>
      <c r="D7" s="8"/>
      <c r="E7" s="8"/>
      <c r="F7" s="8"/>
      <c r="G7" s="34" t="str">
        <f>IF(G5&lt;=0, "Historical", "Forecasted")</f>
        <v>Historical</v>
      </c>
      <c r="H7" s="8" t="str">
        <f>IF(H5&lt;=0, "Historical", "Forecasted")</f>
        <v>Historical</v>
      </c>
      <c r="I7" s="8" t="str">
        <f t="shared" ref="I7:Q7" si="0">IF(I5&lt;=0, "Historical", "Forecasted")</f>
        <v>Historical</v>
      </c>
      <c r="J7" s="8" t="str">
        <f t="shared" si="0"/>
        <v>Historical</v>
      </c>
      <c r="K7" s="8" t="str">
        <f t="shared" si="0"/>
        <v>Historical</v>
      </c>
      <c r="L7" s="207" t="str">
        <f t="shared" si="0"/>
        <v>Historical</v>
      </c>
      <c r="M7" s="8" t="str">
        <f t="shared" si="0"/>
        <v>Forecasted</v>
      </c>
      <c r="N7" s="8" t="str">
        <f t="shared" si="0"/>
        <v>Forecasted</v>
      </c>
      <c r="O7" s="8" t="str">
        <f t="shared" si="0"/>
        <v>Forecasted</v>
      </c>
      <c r="P7" s="8" t="str">
        <f t="shared" si="0"/>
        <v>Forecasted</v>
      </c>
      <c r="Q7" s="8" t="str">
        <f t="shared" si="0"/>
        <v>Forecasted</v>
      </c>
    </row>
    <row r="8" spans="1:17" x14ac:dyDescent="0.2">
      <c r="G8" s="32"/>
      <c r="L8" s="208"/>
    </row>
    <row r="9" spans="1:17" x14ac:dyDescent="0.2">
      <c r="G9" s="32"/>
      <c r="L9" s="208"/>
    </row>
    <row r="10" spans="1:17" ht="25" thickBot="1" x14ac:dyDescent="0.35">
      <c r="B10" s="17" t="s">
        <v>90</v>
      </c>
      <c r="C10" s="2"/>
      <c r="D10" s="2"/>
      <c r="E10" s="2"/>
      <c r="F10" s="36"/>
      <c r="G10" s="32"/>
      <c r="L10" s="208"/>
      <c r="M10" s="170"/>
    </row>
    <row r="11" spans="1:17" x14ac:dyDescent="0.2">
      <c r="B11" s="8"/>
      <c r="F11" s="36"/>
      <c r="L11" s="208"/>
      <c r="M11" s="170"/>
    </row>
    <row r="12" spans="1:17" x14ac:dyDescent="0.2">
      <c r="G12" s="32"/>
      <c r="L12" s="208"/>
    </row>
    <row r="13" spans="1:17" x14ac:dyDescent="0.2">
      <c r="B13" s="183"/>
      <c r="C13" s="183"/>
      <c r="G13" s="32"/>
      <c r="L13" s="208"/>
    </row>
    <row r="14" spans="1:17" x14ac:dyDescent="0.2">
      <c r="B14" s="185" t="s">
        <v>398</v>
      </c>
      <c r="C14" s="22"/>
      <c r="D14" s="22"/>
      <c r="E14" s="22"/>
      <c r="F14" s="22"/>
      <c r="G14" s="86"/>
      <c r="H14" s="22"/>
      <c r="I14" s="22"/>
      <c r="J14" s="22"/>
      <c r="K14" s="22"/>
      <c r="L14" s="209"/>
      <c r="M14" s="22"/>
      <c r="N14" s="22"/>
      <c r="O14" s="22"/>
      <c r="P14" s="22"/>
      <c r="Q14" s="22"/>
    </row>
    <row r="15" spans="1:17" x14ac:dyDescent="0.2">
      <c r="B15" s="184" t="s">
        <v>399</v>
      </c>
      <c r="G15" s="32">
        <f>G52</f>
        <v>8.1999999999999993</v>
      </c>
      <c r="H15" s="32">
        <f t="shared" ref="H15:L15" si="1">H52</f>
        <v>-64.5</v>
      </c>
      <c r="I15" s="32">
        <f t="shared" si="1"/>
        <v>63</v>
      </c>
      <c r="J15" s="32">
        <f t="shared" si="1"/>
        <v>80</v>
      </c>
      <c r="K15" s="32">
        <f t="shared" si="1"/>
        <v>58</v>
      </c>
      <c r="L15" s="32">
        <f t="shared" si="1"/>
        <v>106</v>
      </c>
      <c r="M15" s="333">
        <f>'IS Neu'!J24</f>
        <v>319.39086216000021</v>
      </c>
      <c r="N15" s="333">
        <f ca="1">'IS Neu'!K24</f>
        <v>345.59665597922111</v>
      </c>
      <c r="O15" s="333">
        <f ca="1">'IS Neu'!L24</f>
        <v>464.84431893281061</v>
      </c>
      <c r="P15" s="333">
        <f ca="1">'IS Neu'!M24</f>
        <v>556.05880896026133</v>
      </c>
      <c r="Q15" s="333">
        <f ca="1">'IS Neu'!N24</f>
        <v>671.83982100696232</v>
      </c>
    </row>
    <row r="16" spans="1:17" x14ac:dyDescent="0.2">
      <c r="B16" s="184" t="s">
        <v>400</v>
      </c>
      <c r="G16" s="32">
        <f>SUMIF($M$53:$M$90, $B$16, G53:G90)</f>
        <v>143.19999999999999</v>
      </c>
      <c r="H16" s="32">
        <f t="shared" ref="H16:L16" si="2">SUMIF($M$53:$M$90, $B$16, H53:H90)</f>
        <v>118.39999999999999</v>
      </c>
      <c r="I16" s="32">
        <f t="shared" si="2"/>
        <v>128</v>
      </c>
      <c r="J16" s="32">
        <f t="shared" si="2"/>
        <v>105</v>
      </c>
      <c r="K16" s="32">
        <f t="shared" si="2"/>
        <v>133</v>
      </c>
      <c r="L16" s="32">
        <f t="shared" si="2"/>
        <v>180</v>
      </c>
      <c r="M16" s="333">
        <f>'FA-Forecast (updated)'!M84</f>
        <v>263.03730059970013</v>
      </c>
      <c r="N16" s="333">
        <f ca="1">'FA-Forecast (updated)'!N84</f>
        <v>270.9899722870947</v>
      </c>
      <c r="O16" s="333">
        <f ca="1">'FA-Forecast (updated)'!O84</f>
        <v>279.64549685498025</v>
      </c>
      <c r="P16" s="333">
        <f ca="1">'FA-Forecast (updated)'!P84</f>
        <v>296.85834270159762</v>
      </c>
      <c r="Q16" s="333">
        <f ca="1">'FA-Forecast (updated)'!Q84</f>
        <v>319.58634017572115</v>
      </c>
    </row>
    <row r="17" spans="2:18" x14ac:dyDescent="0.2">
      <c r="B17" s="184" t="s">
        <v>401</v>
      </c>
      <c r="G17" s="32">
        <f>SUMIF($M$53:$M$90, $B$17, G53:G90)</f>
        <v>-60.000000000000007</v>
      </c>
      <c r="H17" s="32">
        <f t="shared" ref="H17:L17" si="3">SUMIF($M$53:$M$90, $B$17, H53:H90)</f>
        <v>92</v>
      </c>
      <c r="I17" s="32">
        <f t="shared" si="3"/>
        <v>100</v>
      </c>
      <c r="J17" s="32">
        <f t="shared" si="3"/>
        <v>17</v>
      </c>
      <c r="K17" s="32">
        <f t="shared" si="3"/>
        <v>46</v>
      </c>
      <c r="L17" s="32">
        <f t="shared" si="3"/>
        <v>28</v>
      </c>
      <c r="M17" s="333">
        <f ca="1">'WC &amp; other Assets (updated) '!M135</f>
        <v>-44.391833561969804</v>
      </c>
      <c r="N17" s="333">
        <f>'WC &amp; other Assets (updated) '!N135</f>
        <v>28.520057677306681</v>
      </c>
      <c r="O17" s="333">
        <f>'WC &amp; other Assets (updated) '!O135</f>
        <v>154.90912017178007</v>
      </c>
      <c r="P17" s="333">
        <f>'WC &amp; other Assets (updated) '!P135</f>
        <v>120.53531801785815</v>
      </c>
      <c r="Q17" s="333">
        <f>'WC &amp; other Assets (updated) '!Q135</f>
        <v>178.98825656791252</v>
      </c>
    </row>
    <row r="18" spans="2:18" x14ac:dyDescent="0.2">
      <c r="B18" s="184" t="s">
        <v>402</v>
      </c>
      <c r="G18" s="32">
        <f>SUMIF($M$53:$M$90, $B$18, G53:G90)</f>
        <v>-45.1</v>
      </c>
      <c r="H18" s="32">
        <f t="shared" ref="H18:L18" si="4">SUMIF($M$53:$M$90, $B$18, H53:H90)</f>
        <v>-58.5</v>
      </c>
      <c r="I18" s="32">
        <f t="shared" si="4"/>
        <v>-36</v>
      </c>
      <c r="J18" s="32">
        <f t="shared" si="4"/>
        <v>-24</v>
      </c>
      <c r="K18" s="32">
        <f t="shared" si="4"/>
        <v>-35</v>
      </c>
      <c r="L18" s="32">
        <f t="shared" si="4"/>
        <v>-45</v>
      </c>
      <c r="M18" s="333">
        <f>'Debt &amp; Cash'!K55</f>
        <v>-30.54552</v>
      </c>
      <c r="N18" s="333">
        <f ca="1">'Debt &amp; Cash'!L55</f>
        <v>-45.397015705409991</v>
      </c>
      <c r="O18" s="333">
        <f ca="1">'Debt &amp; Cash'!M55</f>
        <v>-47.472526552565462</v>
      </c>
      <c r="P18" s="333">
        <f ca="1">'Debt &amp; Cash'!N55</f>
        <v>-29.452679061593393</v>
      </c>
      <c r="Q18" s="333">
        <f ca="1">'Debt &amp; Cash'!O55</f>
        <v>-30.124390582280085</v>
      </c>
    </row>
    <row r="19" spans="2:18" x14ac:dyDescent="0.2">
      <c r="B19" s="184" t="s">
        <v>403</v>
      </c>
      <c r="G19" s="32">
        <f>SUMIF($M$53:$M$90, $B$19, G53:G90)</f>
        <v>16.5</v>
      </c>
      <c r="H19" s="32">
        <f t="shared" ref="H19:L19" si="5">SUMIF($M$53:$M$90, $B$19, H53:H90)</f>
        <v>-16.2</v>
      </c>
      <c r="I19" s="32">
        <f t="shared" si="5"/>
        <v>13</v>
      </c>
      <c r="J19" s="32">
        <f t="shared" si="5"/>
        <v>38</v>
      </c>
      <c r="K19" s="32">
        <f t="shared" si="5"/>
        <v>9</v>
      </c>
      <c r="L19" s="32">
        <f t="shared" si="5"/>
        <v>-6</v>
      </c>
      <c r="M19" s="333">
        <f ca="1">'WC &amp; other Assets (updated) '!M124</f>
        <v>64.393476103156019</v>
      </c>
      <c r="N19" s="333">
        <f ca="1">'WC &amp; other Assets (updated) '!N124</f>
        <v>7.9963319241373654</v>
      </c>
      <c r="O19" s="333">
        <f ca="1">'WC &amp; other Assets (updated) '!O124</f>
        <v>20.235391583740835</v>
      </c>
      <c r="P19" s="333">
        <f ca="1">'WC &amp; other Assets (updated) '!P124</f>
        <v>21.867846942208928</v>
      </c>
      <c r="Q19" s="333">
        <f ca="1">'WC &amp; other Assets (updated) '!Q124</f>
        <v>28.469927556140334</v>
      </c>
    </row>
    <row r="20" spans="2:18" ht="17" thickBot="1" x14ac:dyDescent="0.25">
      <c r="B20" s="193" t="s">
        <v>404</v>
      </c>
      <c r="C20" s="26"/>
      <c r="D20" s="26"/>
      <c r="E20" s="26"/>
      <c r="F20" s="26"/>
      <c r="G20" s="148">
        <f>SUM(G15:G19)</f>
        <v>62.799999999999976</v>
      </c>
      <c r="H20" s="148">
        <f t="shared" ref="H20:L20" si="6">SUM(H15:H19)</f>
        <v>71.199999999999974</v>
      </c>
      <c r="I20" s="148">
        <f t="shared" si="6"/>
        <v>268</v>
      </c>
      <c r="J20" s="148">
        <f t="shared" si="6"/>
        <v>216</v>
      </c>
      <c r="K20" s="148">
        <f t="shared" si="6"/>
        <v>211</v>
      </c>
      <c r="L20" s="58">
        <f t="shared" si="6"/>
        <v>263</v>
      </c>
      <c r="M20" s="58">
        <f t="shared" ref="M20" ca="1" si="7">SUM(M15:M19)</f>
        <v>571.88428530088652</v>
      </c>
      <c r="N20" s="28">
        <f t="shared" ref="N20" ca="1" si="8">SUM(N15:N19)</f>
        <v>607.70600216234982</v>
      </c>
      <c r="O20" s="28">
        <f t="shared" ref="O20" ca="1" si="9">SUM(O15:O19)</f>
        <v>872.1618009907462</v>
      </c>
      <c r="P20" s="28">
        <f t="shared" ref="P20" ca="1" si="10">SUM(P15:P19)</f>
        <v>965.8676375603327</v>
      </c>
      <c r="Q20" s="28">
        <f t="shared" ref="Q20" ca="1" si="11">SUM(Q15:Q19)</f>
        <v>1168.7599547244563</v>
      </c>
    </row>
    <row r="21" spans="2:18" x14ac:dyDescent="0.2">
      <c r="B21" s="183"/>
      <c r="G21" s="32"/>
      <c r="L21" s="208"/>
      <c r="M21" s="42"/>
      <c r="N21" s="16"/>
      <c r="O21" s="16"/>
      <c r="P21" s="16"/>
      <c r="Q21" s="16"/>
    </row>
    <row r="22" spans="2:18" x14ac:dyDescent="0.2">
      <c r="B22" s="185" t="s">
        <v>405</v>
      </c>
      <c r="C22" s="22"/>
      <c r="D22" s="22"/>
      <c r="E22" s="22"/>
      <c r="F22" s="22"/>
      <c r="G22" s="86"/>
      <c r="H22" s="22"/>
      <c r="I22" s="22"/>
      <c r="J22" s="22"/>
      <c r="K22" s="22"/>
      <c r="L22" s="209"/>
      <c r="M22" s="282"/>
      <c r="N22" s="27"/>
      <c r="O22" s="27"/>
      <c r="P22" s="27"/>
      <c r="Q22" s="27"/>
    </row>
    <row r="23" spans="2:18" x14ac:dyDescent="0.2">
      <c r="B23" s="184" t="s">
        <v>406</v>
      </c>
      <c r="G23" s="32">
        <f>SUMIF($M$53:$M$90, $B$23, G53:G90)</f>
        <v>-80</v>
      </c>
      <c r="H23" s="32">
        <f t="shared" ref="H23:L23" si="12">SUMIF($M$53:$M$90, $B$23, H53:H90)</f>
        <v>-97.2</v>
      </c>
      <c r="I23" s="32">
        <f t="shared" si="12"/>
        <v>-99</v>
      </c>
      <c r="J23" s="32">
        <f t="shared" si="12"/>
        <v>-95</v>
      </c>
      <c r="K23" s="32">
        <f t="shared" si="12"/>
        <v>-114</v>
      </c>
      <c r="L23" s="32">
        <f t="shared" si="12"/>
        <v>-197</v>
      </c>
      <c r="M23" s="333">
        <f>'FA-Forecast (updated)'!M65*-1</f>
        <v>-336</v>
      </c>
      <c r="N23" s="333">
        <f>'FA-Forecast (updated)'!N65*-1</f>
        <v>-351.60047999999995</v>
      </c>
      <c r="O23" s="333">
        <f>'FA-Forecast (updated)'!O65*-1</f>
        <v>-439.44692399999997</v>
      </c>
      <c r="P23" s="333">
        <f>'FA-Forecast (updated)'!P65*-1</f>
        <v>-508.41345945599988</v>
      </c>
      <c r="Q23" s="333">
        <f>'FA-Forecast (updated)'!Q65*-1</f>
        <v>-610.82493640559983</v>
      </c>
    </row>
    <row r="24" spans="2:18" x14ac:dyDescent="0.2">
      <c r="B24" s="184" t="s">
        <v>407</v>
      </c>
      <c r="G24" s="32">
        <f>SUMIF($M$53:$M$90, $B$24, G53:G90)</f>
        <v>-85.6</v>
      </c>
      <c r="H24" s="32">
        <f t="shared" ref="H24:L24" si="13">SUMIF($M$53:$M$90, $B$24, H53:H90)</f>
        <v>2.1000000000000005</v>
      </c>
      <c r="I24" s="32">
        <f t="shared" si="13"/>
        <v>-19</v>
      </c>
      <c r="J24" s="32">
        <f t="shared" si="13"/>
        <v>-6</v>
      </c>
      <c r="K24" s="32">
        <f t="shared" si="13"/>
        <v>-9</v>
      </c>
      <c r="L24" s="32">
        <f t="shared" si="13"/>
        <v>-547</v>
      </c>
      <c r="M24" s="361">
        <v>0</v>
      </c>
      <c r="N24" s="361">
        <v>0</v>
      </c>
      <c r="O24" s="361">
        <v>0</v>
      </c>
      <c r="P24" s="361">
        <v>0</v>
      </c>
      <c r="Q24" s="361">
        <v>0</v>
      </c>
    </row>
    <row r="25" spans="2:18" x14ac:dyDescent="0.2">
      <c r="B25" s="184" t="s">
        <v>408</v>
      </c>
      <c r="G25" s="32">
        <f>SUMIF($M$53:$M$90, $B$25, G53:G90)</f>
        <v>20.399999999999999</v>
      </c>
      <c r="H25" s="32">
        <f t="shared" ref="H25:L25" si="14">SUMIF($M$53:$M$90, $B$25, H53:H90)</f>
        <v>125.9</v>
      </c>
      <c r="I25" s="32">
        <f t="shared" si="14"/>
        <v>32</v>
      </c>
      <c r="J25" s="32">
        <f t="shared" si="14"/>
        <v>28</v>
      </c>
      <c r="K25" s="32">
        <f t="shared" si="14"/>
        <v>55</v>
      </c>
      <c r="L25" s="32">
        <f t="shared" si="14"/>
        <v>49</v>
      </c>
      <c r="M25" s="361">
        <v>50</v>
      </c>
      <c r="N25" s="361">
        <v>50</v>
      </c>
      <c r="O25" s="361">
        <v>50</v>
      </c>
      <c r="P25" s="361">
        <v>50</v>
      </c>
      <c r="Q25" s="361">
        <v>50</v>
      </c>
      <c r="R25" t="s">
        <v>725</v>
      </c>
    </row>
    <row r="26" spans="2:18" ht="17" thickBot="1" x14ac:dyDescent="0.25">
      <c r="B26" s="193" t="s">
        <v>409</v>
      </c>
      <c r="C26" s="26"/>
      <c r="D26" s="26"/>
      <c r="E26" s="26"/>
      <c r="F26" s="26"/>
      <c r="G26" s="148">
        <f>SUM(G23:G25)</f>
        <v>-145.19999999999999</v>
      </c>
      <c r="H26" s="148">
        <f t="shared" ref="H26:L26" si="15">SUM(H23:H25)</f>
        <v>30.799999999999997</v>
      </c>
      <c r="I26" s="148">
        <f t="shared" si="15"/>
        <v>-86</v>
      </c>
      <c r="J26" s="148">
        <f t="shared" si="15"/>
        <v>-73</v>
      </c>
      <c r="K26" s="148">
        <f t="shared" si="15"/>
        <v>-68</v>
      </c>
      <c r="L26" s="148">
        <f t="shared" si="15"/>
        <v>-695</v>
      </c>
      <c r="M26" s="58">
        <f>SUM(M23:M25)</f>
        <v>-286</v>
      </c>
      <c r="N26" s="58">
        <f t="shared" ref="N26:Q26" si="16">SUM(N23:N25)</f>
        <v>-301.60047999999995</v>
      </c>
      <c r="O26" s="58">
        <f t="shared" si="16"/>
        <v>-389.44692399999997</v>
      </c>
      <c r="P26" s="58">
        <f t="shared" si="16"/>
        <v>-458.41345945599988</v>
      </c>
      <c r="Q26" s="58">
        <f t="shared" si="16"/>
        <v>-560.82493640559983</v>
      </c>
    </row>
    <row r="27" spans="2:18" x14ac:dyDescent="0.2">
      <c r="B27" s="183"/>
      <c r="G27" s="32"/>
      <c r="L27" s="208"/>
      <c r="M27" s="42"/>
      <c r="N27" s="16"/>
      <c r="O27" s="16"/>
      <c r="P27" s="16"/>
      <c r="Q27" s="16"/>
    </row>
    <row r="28" spans="2:18" x14ac:dyDescent="0.2">
      <c r="B28" s="185" t="s">
        <v>410</v>
      </c>
      <c r="C28" s="22"/>
      <c r="D28" s="22"/>
      <c r="E28" s="22"/>
      <c r="F28" s="22"/>
      <c r="G28" s="86"/>
      <c r="H28" s="22"/>
      <c r="I28" s="22"/>
      <c r="J28" s="22"/>
      <c r="K28" s="22"/>
      <c r="L28" s="209"/>
      <c r="M28" s="282"/>
      <c r="N28" s="27"/>
      <c r="O28" s="27"/>
      <c r="P28" s="27"/>
      <c r="Q28" s="27"/>
    </row>
    <row r="29" spans="2:18" x14ac:dyDescent="0.2">
      <c r="B29" s="184" t="s">
        <v>411</v>
      </c>
      <c r="G29" s="32">
        <f>SUMIF($M$53:$M$90, $B$29, G53:G90)</f>
        <v>2.4</v>
      </c>
      <c r="H29" s="32">
        <f t="shared" ref="H29:L29" si="17">SUMIF($M$53:$M$90, $B$29, H53:H90)</f>
        <v>127.1</v>
      </c>
      <c r="I29" s="32">
        <f t="shared" si="17"/>
        <v>-264</v>
      </c>
      <c r="J29" s="32">
        <f t="shared" si="17"/>
        <v>-169</v>
      </c>
      <c r="K29" s="32">
        <f t="shared" si="17"/>
        <v>10</v>
      </c>
      <c r="L29" s="32">
        <f t="shared" si="17"/>
        <v>442</v>
      </c>
      <c r="M29" s="333">
        <f>'Debt &amp; Cash'!K63</f>
        <v>54.671793868065983</v>
      </c>
      <c r="N29" s="333">
        <f ca="1">'Debt &amp; Cash'!L63</f>
        <v>49.770364496839157</v>
      </c>
      <c r="O29" s="333">
        <f ca="1">'Debt &amp; Cash'!M63</f>
        <v>85.255475611904359</v>
      </c>
      <c r="P29" s="333">
        <f ca="1">'Debt &amp; Cash'!N63</f>
        <v>104.2276062261285</v>
      </c>
      <c r="Q29" s="333">
        <f ca="1">'Debt &amp; Cash'!O63</f>
        <v>133.02323417518932</v>
      </c>
    </row>
    <row r="30" spans="2:18" x14ac:dyDescent="0.2">
      <c r="B30" s="184" t="s">
        <v>412</v>
      </c>
      <c r="G30" s="32">
        <f>SUMIF($M$53:$M$90, $B$30, G53:G90)</f>
        <v>0</v>
      </c>
      <c r="H30" s="32">
        <f t="shared" ref="H30:L30" si="18">SUMIF($M$53:$M$90, $B$30, H53:H90)</f>
        <v>298.39999999999998</v>
      </c>
      <c r="I30" s="32">
        <f t="shared" si="18"/>
        <v>-3</v>
      </c>
      <c r="J30" s="32">
        <f t="shared" si="18"/>
        <v>0</v>
      </c>
      <c r="K30" s="32">
        <f t="shared" si="18"/>
        <v>238</v>
      </c>
      <c r="L30" s="32">
        <f t="shared" si="18"/>
        <v>-1</v>
      </c>
      <c r="M30" s="333">
        <v>0</v>
      </c>
      <c r="N30" s="333">
        <v>0</v>
      </c>
      <c r="O30" s="333">
        <v>0</v>
      </c>
      <c r="P30" s="333">
        <v>0</v>
      </c>
      <c r="Q30" s="333">
        <v>0</v>
      </c>
      <c r="R30" t="s">
        <v>589</v>
      </c>
    </row>
    <row r="31" spans="2:18" x14ac:dyDescent="0.2">
      <c r="B31" s="184" t="s">
        <v>413</v>
      </c>
      <c r="G31" s="32">
        <f>SUMIF($M$53:$M$90, $B$31, G53:G90)</f>
        <v>-11.3</v>
      </c>
      <c r="H31" s="32">
        <f t="shared" ref="H31:L31" si="19">SUMIF($M$53:$M$90, $B$31, H53:H90)</f>
        <v>-14.3</v>
      </c>
      <c r="I31" s="32">
        <f t="shared" si="19"/>
        <v>-16</v>
      </c>
      <c r="J31" s="32">
        <f t="shared" si="19"/>
        <v>-19</v>
      </c>
      <c r="K31" s="32">
        <f t="shared" si="19"/>
        <v>-19</v>
      </c>
      <c r="L31" s="32">
        <f t="shared" si="19"/>
        <v>-27</v>
      </c>
      <c r="M31" s="333">
        <v>0</v>
      </c>
      <c r="N31" s="333">
        <v>0</v>
      </c>
      <c r="O31" s="333">
        <v>0</v>
      </c>
      <c r="P31" s="333">
        <v>0</v>
      </c>
      <c r="Q31" s="333">
        <v>0</v>
      </c>
      <c r="R31" t="s">
        <v>711</v>
      </c>
    </row>
    <row r="32" spans="2:18" x14ac:dyDescent="0.2">
      <c r="B32" s="184" t="s">
        <v>414</v>
      </c>
      <c r="G32" s="32">
        <f>SUMIF($M$53:$M$90, $B$32, G53:G90)</f>
        <v>-0.2</v>
      </c>
      <c r="H32" s="32">
        <f t="shared" ref="H32:L32" si="20">SUMIF($M$53:$M$90, $B$32, H53:H90)</f>
        <v>0</v>
      </c>
      <c r="I32" s="32">
        <f t="shared" si="20"/>
        <v>-14</v>
      </c>
      <c r="J32" s="32">
        <f t="shared" si="20"/>
        <v>-26</v>
      </c>
      <c r="K32" s="32">
        <f t="shared" si="20"/>
        <v>-32</v>
      </c>
      <c r="L32" s="32">
        <f t="shared" si="20"/>
        <v>-46</v>
      </c>
      <c r="M32" s="333">
        <f>'Debt &amp; Cash'!K25*-1</f>
        <v>-137.33807072880009</v>
      </c>
      <c r="N32" s="333">
        <f ca="1">'Debt &amp; Cash'!L25*-1</f>
        <v>-155.5184951906495</v>
      </c>
      <c r="O32" s="333">
        <f ca="1">'Debt &amp; Cash'!M25*-1</f>
        <v>-218.47682989842099</v>
      </c>
      <c r="P32" s="333">
        <f ca="1">'Debt &amp; Cash'!N25*-1</f>
        <v>-272.46881639052805</v>
      </c>
      <c r="Q32" s="333">
        <f ca="1">'Debt &amp; Cash'!O25*-1</f>
        <v>-342.63830871355077</v>
      </c>
    </row>
    <row r="33" spans="2:18" x14ac:dyDescent="0.2">
      <c r="B33" s="184" t="s">
        <v>415</v>
      </c>
      <c r="G33" s="32">
        <f>SUMIF($M$53:$M$90, $B$33, G53:G90)</f>
        <v>0</v>
      </c>
      <c r="H33" s="32">
        <f t="shared" ref="H33:L33" si="21">SUMIF($M$53:$M$90, $B$33, H53:H90)</f>
        <v>0</v>
      </c>
      <c r="I33" s="32">
        <f t="shared" si="21"/>
        <v>0</v>
      </c>
      <c r="J33" s="32">
        <f t="shared" si="21"/>
        <v>0</v>
      </c>
      <c r="K33" s="32">
        <f t="shared" si="21"/>
        <v>0</v>
      </c>
      <c r="L33" s="32">
        <f t="shared" si="21"/>
        <v>0</v>
      </c>
      <c r="M33" s="333">
        <v>0</v>
      </c>
      <c r="N33" s="333">
        <v>0</v>
      </c>
      <c r="O33" s="333">
        <v>0</v>
      </c>
      <c r="P33" s="333">
        <v>0</v>
      </c>
      <c r="Q33" s="333">
        <v>0</v>
      </c>
    </row>
    <row r="34" spans="2:18" ht="17" thickBot="1" x14ac:dyDescent="0.25">
      <c r="B34" s="193" t="s">
        <v>416</v>
      </c>
      <c r="C34" s="26"/>
      <c r="D34" s="26"/>
      <c r="E34" s="26"/>
      <c r="F34" s="26"/>
      <c r="G34" s="148">
        <f>SUM(G29:G33)</f>
        <v>-9.1</v>
      </c>
      <c r="H34" s="148">
        <f t="shared" ref="H34:L34" si="22">SUM(H29:H33)</f>
        <v>411.2</v>
      </c>
      <c r="I34" s="148">
        <f t="shared" si="22"/>
        <v>-297</v>
      </c>
      <c r="J34" s="148">
        <f t="shared" si="22"/>
        <v>-214</v>
      </c>
      <c r="K34" s="148">
        <f t="shared" si="22"/>
        <v>197</v>
      </c>
      <c r="L34" s="148">
        <f t="shared" si="22"/>
        <v>368</v>
      </c>
      <c r="M34" s="58">
        <f>SUM(M29:M33)</f>
        <v>-82.666276860734115</v>
      </c>
      <c r="N34" s="58">
        <f t="shared" ref="N34:Q34" ca="1" si="23">SUM(N29:N33)</f>
        <v>-105.74813069381034</v>
      </c>
      <c r="O34" s="58">
        <f t="shared" ca="1" si="23"/>
        <v>-133.22135428651663</v>
      </c>
      <c r="P34" s="58">
        <f t="shared" ca="1" si="23"/>
        <v>-168.24121016439955</v>
      </c>
      <c r="Q34" s="58">
        <f t="shared" ca="1" si="23"/>
        <v>-209.61507453836145</v>
      </c>
    </row>
    <row r="35" spans="2:18" x14ac:dyDescent="0.2">
      <c r="B35" s="183"/>
      <c r="G35" s="32"/>
      <c r="L35" s="208"/>
      <c r="M35" s="42"/>
      <c r="N35" s="16"/>
      <c r="O35" s="16"/>
      <c r="P35" s="16"/>
      <c r="Q35" s="16"/>
    </row>
    <row r="36" spans="2:18" x14ac:dyDescent="0.2">
      <c r="B36" s="185" t="s">
        <v>417</v>
      </c>
      <c r="C36" s="22"/>
      <c r="D36" s="22"/>
      <c r="E36" s="22"/>
      <c r="F36" s="22"/>
      <c r="G36" s="86"/>
      <c r="H36" s="22"/>
      <c r="I36" s="22"/>
      <c r="J36" s="22"/>
      <c r="K36" s="22"/>
      <c r="L36" s="209"/>
      <c r="M36" s="282"/>
      <c r="N36" s="27"/>
      <c r="O36" s="27"/>
      <c r="P36" s="27"/>
      <c r="Q36" s="27"/>
    </row>
    <row r="37" spans="2:18" x14ac:dyDescent="0.2">
      <c r="B37" s="184" t="s">
        <v>418</v>
      </c>
      <c r="G37" s="32">
        <f>SUMIF($M$53:$M$90, $B$37,G53:G90)</f>
        <v>1.4</v>
      </c>
      <c r="H37" s="32">
        <f t="shared" ref="H37:L37" si="24">SUMIF($M$53:$M$90, $B$37,H53:H90)</f>
        <v>-2.2999999999999998</v>
      </c>
      <c r="I37" s="32">
        <f t="shared" si="24"/>
        <v>-1</v>
      </c>
      <c r="J37" s="32">
        <f t="shared" si="24"/>
        <v>2</v>
      </c>
      <c r="K37" s="32">
        <f t="shared" si="24"/>
        <v>0</v>
      </c>
      <c r="L37" s="32">
        <f t="shared" si="24"/>
        <v>-3</v>
      </c>
      <c r="M37" s="334">
        <v>0</v>
      </c>
      <c r="N37" s="139">
        <v>0</v>
      </c>
      <c r="O37" s="139">
        <v>0</v>
      </c>
      <c r="P37" s="139">
        <v>0</v>
      </c>
      <c r="Q37" s="139">
        <v>0</v>
      </c>
      <c r="R37" t="s">
        <v>477</v>
      </c>
    </row>
    <row r="38" spans="2:18" ht="17" thickBot="1" x14ac:dyDescent="0.25">
      <c r="B38" s="188" t="s">
        <v>419</v>
      </c>
      <c r="C38" s="190"/>
      <c r="D38" s="190"/>
      <c r="E38" s="190"/>
      <c r="F38" s="190"/>
      <c r="G38" s="198">
        <f>SUM(G34,G26,G20,G37)</f>
        <v>-90.1</v>
      </c>
      <c r="H38" s="198">
        <f t="shared" ref="H38:L38" si="25">SUM(H34,H26,H20,H37)</f>
        <v>510.89999999999992</v>
      </c>
      <c r="I38" s="198">
        <f t="shared" si="25"/>
        <v>-116</v>
      </c>
      <c r="J38" s="198">
        <f t="shared" si="25"/>
        <v>-69</v>
      </c>
      <c r="K38" s="198">
        <f t="shared" si="25"/>
        <v>340</v>
      </c>
      <c r="L38" s="198">
        <f t="shared" si="25"/>
        <v>-67</v>
      </c>
      <c r="M38" s="60">
        <f ca="1">M34+M26+M20</f>
        <v>203.2180084401524</v>
      </c>
      <c r="N38" s="60">
        <f t="shared" ref="N38:Q38" ca="1" si="26">N34+N26+N20</f>
        <v>200.3573914685395</v>
      </c>
      <c r="O38" s="60">
        <f t="shared" ca="1" si="26"/>
        <v>349.49352270422958</v>
      </c>
      <c r="P38" s="60">
        <f t="shared" ca="1" si="26"/>
        <v>339.21296793993326</v>
      </c>
      <c r="Q38" s="60">
        <f t="shared" ca="1" si="26"/>
        <v>398.31994378049501</v>
      </c>
    </row>
    <row r="39" spans="2:18" ht="17" thickTop="1" x14ac:dyDescent="0.2">
      <c r="B39" s="183"/>
      <c r="G39" s="32"/>
      <c r="L39" s="208"/>
    </row>
    <row r="40" spans="2:18" x14ac:dyDescent="0.2">
      <c r="B40" s="183" t="s">
        <v>420</v>
      </c>
      <c r="G40" s="32"/>
      <c r="L40" s="208"/>
    </row>
    <row r="41" spans="2:18" x14ac:dyDescent="0.2">
      <c r="B41" s="183"/>
      <c r="G41" s="32"/>
      <c r="L41" s="208"/>
    </row>
    <row r="42" spans="2:18" x14ac:dyDescent="0.2">
      <c r="B42" s="184" t="s">
        <v>421</v>
      </c>
      <c r="G42" s="32"/>
      <c r="L42" s="208"/>
    </row>
    <row r="43" spans="2:18" x14ac:dyDescent="0.2">
      <c r="B43" s="184" t="s">
        <v>422</v>
      </c>
      <c r="G43" s="32"/>
      <c r="L43" s="208"/>
    </row>
    <row r="44" spans="2:18" x14ac:dyDescent="0.2">
      <c r="G44" s="32"/>
      <c r="L44" s="208"/>
    </row>
    <row r="45" spans="2:18" x14ac:dyDescent="0.2">
      <c r="B45" s="8"/>
      <c r="G45" s="32"/>
      <c r="L45" s="36"/>
    </row>
    <row r="46" spans="2:18" x14ac:dyDescent="0.2">
      <c r="B46" s="8"/>
      <c r="G46" s="32"/>
      <c r="L46" s="36"/>
    </row>
    <row r="47" spans="2:18" x14ac:dyDescent="0.2">
      <c r="B47" s="8"/>
      <c r="G47" s="32"/>
      <c r="L47" s="36"/>
    </row>
    <row r="48" spans="2:18" x14ac:dyDescent="0.2">
      <c r="B48" s="8"/>
      <c r="G48" s="32"/>
      <c r="L48" s="36"/>
    </row>
    <row r="49" spans="2:13" x14ac:dyDescent="0.2">
      <c r="G49" s="32"/>
      <c r="L49" s="36"/>
    </row>
    <row r="50" spans="2:13" ht="25" thickBot="1" x14ac:dyDescent="0.35">
      <c r="B50" s="17" t="s">
        <v>89</v>
      </c>
      <c r="C50" s="17"/>
      <c r="D50" s="17"/>
      <c r="E50" s="17"/>
      <c r="G50" s="32"/>
      <c r="L50" s="36"/>
    </row>
    <row r="51" spans="2:13" x14ac:dyDescent="0.2">
      <c r="G51" s="32">
        <v>2019</v>
      </c>
      <c r="H51">
        <v>2020</v>
      </c>
      <c r="I51" s="32">
        <v>2021</v>
      </c>
      <c r="J51">
        <v>2022</v>
      </c>
      <c r="K51" s="32">
        <v>2023</v>
      </c>
      <c r="L51">
        <v>2024</v>
      </c>
    </row>
    <row r="52" spans="2:13" x14ac:dyDescent="0.2">
      <c r="B52" s="14" t="s">
        <v>92</v>
      </c>
      <c r="C52" s="15"/>
      <c r="D52" s="15"/>
      <c r="E52" s="15"/>
      <c r="F52" s="15"/>
      <c r="G52" s="39">
        <v>8.1999999999999993</v>
      </c>
      <c r="H52" s="19">
        <v>-64.5</v>
      </c>
      <c r="I52" s="14">
        <v>63</v>
      </c>
      <c r="J52" s="14">
        <v>80</v>
      </c>
      <c r="K52" s="14">
        <v>58</v>
      </c>
      <c r="L52" s="40">
        <v>106</v>
      </c>
    </row>
    <row r="53" spans="2:13" x14ac:dyDescent="0.2">
      <c r="B53" t="s">
        <v>93</v>
      </c>
      <c r="G53" s="42">
        <v>129.6</v>
      </c>
      <c r="H53" s="16">
        <v>120.8</v>
      </c>
      <c r="I53">
        <v>126</v>
      </c>
      <c r="J53">
        <v>103</v>
      </c>
      <c r="K53">
        <v>117</v>
      </c>
      <c r="L53" s="36">
        <v>162</v>
      </c>
      <c r="M53" t="s">
        <v>400</v>
      </c>
    </row>
    <row r="54" spans="2:13" x14ac:dyDescent="0.2">
      <c r="B54" t="s">
        <v>94</v>
      </c>
      <c r="G54" s="42">
        <v>13.2</v>
      </c>
      <c r="H54" s="16">
        <v>-2.4</v>
      </c>
      <c r="I54">
        <v>3</v>
      </c>
      <c r="J54">
        <v>2</v>
      </c>
      <c r="K54">
        <v>17</v>
      </c>
      <c r="L54" s="36">
        <v>17</v>
      </c>
      <c r="M54" t="s">
        <v>400</v>
      </c>
    </row>
    <row r="55" spans="2:13" x14ac:dyDescent="0.2">
      <c r="B55" t="s">
        <v>95</v>
      </c>
      <c r="G55" s="42">
        <v>0.4</v>
      </c>
      <c r="H55" s="16">
        <v>0</v>
      </c>
      <c r="I55">
        <v>-1</v>
      </c>
      <c r="J55">
        <v>0</v>
      </c>
      <c r="K55">
        <v>-1</v>
      </c>
      <c r="L55" s="36">
        <v>1</v>
      </c>
      <c r="M55" t="s">
        <v>400</v>
      </c>
    </row>
    <row r="56" spans="2:13" x14ac:dyDescent="0.2">
      <c r="B56" t="s">
        <v>96</v>
      </c>
      <c r="G56" s="42">
        <v>1.2</v>
      </c>
      <c r="H56" s="16">
        <v>2.6</v>
      </c>
      <c r="I56">
        <v>2</v>
      </c>
      <c r="J56">
        <v>0</v>
      </c>
      <c r="K56">
        <v>0</v>
      </c>
      <c r="L56" s="36">
        <v>-3</v>
      </c>
      <c r="M56" t="s">
        <v>408</v>
      </c>
    </row>
    <row r="57" spans="2:13" x14ac:dyDescent="0.2">
      <c r="B57" t="s">
        <v>97</v>
      </c>
      <c r="G57" s="42">
        <v>24.6</v>
      </c>
      <c r="H57" s="16">
        <v>128.30000000000001</v>
      </c>
      <c r="I57">
        <v>33</v>
      </c>
      <c r="J57">
        <v>27</v>
      </c>
      <c r="K57">
        <v>41</v>
      </c>
      <c r="L57" s="36">
        <v>56</v>
      </c>
      <c r="M57" t="s">
        <v>408</v>
      </c>
    </row>
    <row r="58" spans="2:13" ht="17" thickBot="1" x14ac:dyDescent="0.25">
      <c r="B58" s="53" t="s">
        <v>98</v>
      </c>
      <c r="C58" s="53"/>
      <c r="D58" s="53"/>
      <c r="E58" s="53"/>
      <c r="F58" s="53"/>
      <c r="G58" s="54">
        <v>-5.4</v>
      </c>
      <c r="H58" s="55">
        <v>-5.0999999999999996</v>
      </c>
      <c r="I58" s="53">
        <v>-4</v>
      </c>
      <c r="J58" s="53">
        <v>1</v>
      </c>
      <c r="K58" s="53">
        <v>14</v>
      </c>
      <c r="L58" s="56">
        <v>-4</v>
      </c>
      <c r="M58" t="s">
        <v>408</v>
      </c>
    </row>
    <row r="59" spans="2:13" ht="17" thickBot="1" x14ac:dyDescent="0.25">
      <c r="B59" s="52" t="s">
        <v>91</v>
      </c>
      <c r="C59" s="53"/>
      <c r="D59" s="53"/>
      <c r="E59" s="53"/>
      <c r="F59" s="53"/>
      <c r="G59" s="54"/>
      <c r="H59" s="55"/>
      <c r="I59" s="53"/>
      <c r="J59" s="53"/>
      <c r="K59" s="53"/>
      <c r="L59" s="56"/>
    </row>
    <row r="60" spans="2:13" x14ac:dyDescent="0.2">
      <c r="B60" t="s">
        <v>99</v>
      </c>
      <c r="G60" s="42">
        <v>-0.4</v>
      </c>
      <c r="H60" s="16">
        <v>46.4</v>
      </c>
      <c r="I60">
        <v>31</v>
      </c>
      <c r="J60">
        <v>-22</v>
      </c>
      <c r="K60">
        <v>45</v>
      </c>
      <c r="L60" s="36">
        <v>-5</v>
      </c>
      <c r="M60" t="s">
        <v>401</v>
      </c>
    </row>
    <row r="61" spans="2:13" x14ac:dyDescent="0.2">
      <c r="B61" t="s">
        <v>100</v>
      </c>
      <c r="G61" s="42">
        <v>-17.8</v>
      </c>
      <c r="H61" s="16">
        <v>5.3</v>
      </c>
      <c r="I61">
        <v>-44</v>
      </c>
      <c r="J61">
        <v>-75</v>
      </c>
      <c r="K61">
        <v>-128</v>
      </c>
      <c r="L61" s="36">
        <v>-103</v>
      </c>
      <c r="M61" t="s">
        <v>401</v>
      </c>
    </row>
    <row r="62" spans="2:13" x14ac:dyDescent="0.2">
      <c r="B62" t="s">
        <v>101</v>
      </c>
      <c r="G62" s="42">
        <v>-89.4</v>
      </c>
      <c r="H62" s="16">
        <v>61.4</v>
      </c>
      <c r="I62">
        <v>111</v>
      </c>
      <c r="J62">
        <v>-25</v>
      </c>
      <c r="K62">
        <v>65</v>
      </c>
      <c r="L62" s="36">
        <v>34</v>
      </c>
      <c r="M62" t="s">
        <v>401</v>
      </c>
    </row>
    <row r="63" spans="2:13" x14ac:dyDescent="0.2">
      <c r="B63" t="s">
        <v>102</v>
      </c>
      <c r="G63" s="42">
        <v>56.4</v>
      </c>
      <c r="H63" s="16">
        <v>5.3</v>
      </c>
      <c r="I63">
        <v>-22</v>
      </c>
      <c r="J63">
        <v>-13</v>
      </c>
      <c r="K63">
        <v>-66</v>
      </c>
      <c r="L63" s="36">
        <v>-11</v>
      </c>
      <c r="M63" t="s">
        <v>401</v>
      </c>
    </row>
    <row r="64" spans="2:13" x14ac:dyDescent="0.2">
      <c r="B64" t="s">
        <v>103</v>
      </c>
      <c r="G64" s="42">
        <v>-13.4</v>
      </c>
      <c r="H64" s="16">
        <v>-8.6</v>
      </c>
      <c r="I64">
        <v>107</v>
      </c>
      <c r="J64">
        <v>110</v>
      </c>
      <c r="K64">
        <v>78</v>
      </c>
      <c r="L64" s="36">
        <v>69</v>
      </c>
      <c r="M64" t="s">
        <v>401</v>
      </c>
    </row>
    <row r="65" spans="2:13" x14ac:dyDescent="0.2">
      <c r="B65" t="s">
        <v>104</v>
      </c>
      <c r="G65" s="42">
        <v>4.5999999999999996</v>
      </c>
      <c r="H65" s="16">
        <v>-17.8</v>
      </c>
      <c r="I65">
        <v>-83</v>
      </c>
      <c r="J65">
        <v>42</v>
      </c>
      <c r="K65">
        <v>52</v>
      </c>
      <c r="L65" s="36">
        <v>44</v>
      </c>
      <c r="M65" t="s">
        <v>401</v>
      </c>
    </row>
    <row r="66" spans="2:13" x14ac:dyDescent="0.2">
      <c r="B66" t="s">
        <v>105</v>
      </c>
      <c r="G66" s="42">
        <v>-45.1</v>
      </c>
      <c r="H66" s="16">
        <f>-(43.6+14.9)</f>
        <v>-58.5</v>
      </c>
      <c r="I66">
        <v>-36</v>
      </c>
      <c r="J66">
        <v>-24</v>
      </c>
      <c r="K66">
        <v>-44</v>
      </c>
      <c r="L66" s="36">
        <v>-66</v>
      </c>
      <c r="M66" t="s">
        <v>402</v>
      </c>
    </row>
    <row r="67" spans="2:13" x14ac:dyDescent="0.2">
      <c r="B67" t="s">
        <v>106</v>
      </c>
      <c r="G67" s="42">
        <v>0</v>
      </c>
      <c r="H67" s="16">
        <v>0</v>
      </c>
      <c r="I67">
        <v>0</v>
      </c>
      <c r="J67">
        <v>0</v>
      </c>
      <c r="K67">
        <v>9</v>
      </c>
      <c r="L67" s="36">
        <v>21</v>
      </c>
      <c r="M67" t="s">
        <v>402</v>
      </c>
    </row>
    <row r="68" spans="2:13" x14ac:dyDescent="0.2">
      <c r="B68" t="s">
        <v>107</v>
      </c>
      <c r="G68" s="42">
        <v>27.4</v>
      </c>
      <c r="H68" s="16">
        <v>-10.7</v>
      </c>
      <c r="I68">
        <v>22</v>
      </c>
      <c r="J68">
        <v>49</v>
      </c>
      <c r="K68">
        <v>36</v>
      </c>
      <c r="L68" s="36">
        <v>12</v>
      </c>
      <c r="M68" t="s">
        <v>403</v>
      </c>
    </row>
    <row r="69" spans="2:13" x14ac:dyDescent="0.2">
      <c r="B69" t="s">
        <v>108</v>
      </c>
      <c r="G69" s="42">
        <v>-10.9</v>
      </c>
      <c r="H69" s="16">
        <v>-5.5</v>
      </c>
      <c r="I69">
        <v>-9</v>
      </c>
      <c r="J69">
        <v>-11</v>
      </c>
      <c r="K69">
        <v>-27</v>
      </c>
      <c r="L69" s="36">
        <v>-18</v>
      </c>
      <c r="M69" t="s">
        <v>403</v>
      </c>
    </row>
    <row r="70" spans="2:13" x14ac:dyDescent="0.2">
      <c r="B70" s="14" t="s">
        <v>109</v>
      </c>
      <c r="C70" s="15"/>
      <c r="D70" s="15"/>
      <c r="E70" s="15"/>
      <c r="F70" s="15"/>
      <c r="G70" s="43">
        <v>83.2</v>
      </c>
      <c r="H70" s="19">
        <v>196.9</v>
      </c>
      <c r="I70" s="14">
        <v>299</v>
      </c>
      <c r="J70" s="14">
        <v>244</v>
      </c>
      <c r="K70" s="14">
        <v>267</v>
      </c>
      <c r="L70" s="40">
        <v>311</v>
      </c>
      <c r="M70" t="s">
        <v>404</v>
      </c>
    </row>
    <row r="71" spans="2:13" x14ac:dyDescent="0.2">
      <c r="B71" t="s">
        <v>110</v>
      </c>
      <c r="G71" s="42">
        <v>-80.5</v>
      </c>
      <c r="H71" s="16">
        <v>-97.4</v>
      </c>
      <c r="I71">
        <v>-102</v>
      </c>
      <c r="J71">
        <v>-95</v>
      </c>
      <c r="K71">
        <v>-115</v>
      </c>
      <c r="L71" s="36">
        <v>-199</v>
      </c>
      <c r="M71" t="s">
        <v>406</v>
      </c>
    </row>
    <row r="72" spans="2:13" x14ac:dyDescent="0.2">
      <c r="B72" t="s">
        <v>111</v>
      </c>
      <c r="G72" s="42">
        <v>0.5</v>
      </c>
      <c r="H72" s="16">
        <v>0.2</v>
      </c>
      <c r="I72">
        <v>3</v>
      </c>
      <c r="J72">
        <v>0</v>
      </c>
      <c r="K72">
        <v>1</v>
      </c>
      <c r="L72" s="36">
        <v>2</v>
      </c>
      <c r="M72" t="s">
        <v>406</v>
      </c>
    </row>
    <row r="73" spans="2:13" x14ac:dyDescent="0.2">
      <c r="B73" t="s">
        <v>112</v>
      </c>
      <c r="G73" s="42">
        <v>-3.9</v>
      </c>
      <c r="H73" s="16">
        <v>-6.6</v>
      </c>
      <c r="I73">
        <v>-7</v>
      </c>
      <c r="J73">
        <v>-5</v>
      </c>
      <c r="K73">
        <v>-9</v>
      </c>
      <c r="L73" s="36">
        <v>-4</v>
      </c>
      <c r="M73" t="s">
        <v>407</v>
      </c>
    </row>
    <row r="74" spans="2:13" x14ac:dyDescent="0.2">
      <c r="B74" t="s">
        <v>113</v>
      </c>
      <c r="G74" s="42">
        <v>2.1</v>
      </c>
      <c r="H74" s="16">
        <v>2.2999999999999998</v>
      </c>
      <c r="I74">
        <v>0</v>
      </c>
      <c r="J74">
        <v>0</v>
      </c>
      <c r="K74">
        <v>1</v>
      </c>
      <c r="L74" s="36">
        <v>0</v>
      </c>
      <c r="M74" t="s">
        <v>407</v>
      </c>
    </row>
    <row r="75" spans="2:13" x14ac:dyDescent="0.2">
      <c r="B75" t="s">
        <v>114</v>
      </c>
      <c r="G75" s="42">
        <v>-83.8</v>
      </c>
      <c r="H75" s="16">
        <v>6.4</v>
      </c>
      <c r="I75">
        <v>-12</v>
      </c>
      <c r="J75">
        <v>-1</v>
      </c>
      <c r="K75">
        <v>-1</v>
      </c>
      <c r="L75" s="36">
        <v>-543</v>
      </c>
      <c r="M75" t="s">
        <v>407</v>
      </c>
    </row>
    <row r="76" spans="2:13" x14ac:dyDescent="0.2">
      <c r="B76" t="s">
        <v>115</v>
      </c>
      <c r="G76" s="42">
        <v>0</v>
      </c>
      <c r="H76" s="16">
        <v>0.1</v>
      </c>
      <c r="I76">
        <v>1</v>
      </c>
      <c r="J76">
        <v>0</v>
      </c>
      <c r="K76">
        <v>0</v>
      </c>
      <c r="L76" s="36">
        <v>0</v>
      </c>
      <c r="M76" t="s">
        <v>408</v>
      </c>
    </row>
    <row r="77" spans="2:13" x14ac:dyDescent="0.2">
      <c r="B77" s="14" t="s">
        <v>116</v>
      </c>
      <c r="C77" s="15"/>
      <c r="D77" s="15"/>
      <c r="E77" s="15"/>
      <c r="F77" s="15"/>
      <c r="G77" s="43">
        <v>-165.6</v>
      </c>
      <c r="H77" s="19">
        <v>-95</v>
      </c>
      <c r="I77" s="14">
        <v>-117</v>
      </c>
      <c r="J77" s="14">
        <v>-101</v>
      </c>
      <c r="K77" s="14">
        <v>-122</v>
      </c>
      <c r="L77" s="40">
        <v>-745</v>
      </c>
      <c r="M77" t="s">
        <v>409</v>
      </c>
    </row>
    <row r="78" spans="2:13" x14ac:dyDescent="0.2">
      <c r="B78" t="s">
        <v>118</v>
      </c>
      <c r="G78" s="42">
        <v>2.4</v>
      </c>
      <c r="H78" s="16">
        <v>950</v>
      </c>
      <c r="I78">
        <v>-210</v>
      </c>
      <c r="J78">
        <v>-150</v>
      </c>
      <c r="K78">
        <v>0</v>
      </c>
      <c r="L78" s="36">
        <v>450</v>
      </c>
      <c r="M78" t="s">
        <v>411</v>
      </c>
    </row>
    <row r="79" spans="2:13" x14ac:dyDescent="0.2">
      <c r="B79" t="s">
        <v>119</v>
      </c>
      <c r="G79" s="42">
        <v>0</v>
      </c>
      <c r="H79" s="16">
        <v>-920</v>
      </c>
      <c r="I79">
        <v>30</v>
      </c>
      <c r="J79">
        <v>0</v>
      </c>
      <c r="K79">
        <v>0</v>
      </c>
      <c r="L79" s="36">
        <v>-2</v>
      </c>
      <c r="M79" t="s">
        <v>411</v>
      </c>
    </row>
    <row r="80" spans="2:13" x14ac:dyDescent="0.2">
      <c r="B80" t="s">
        <v>120</v>
      </c>
      <c r="G80" s="42">
        <v>0</v>
      </c>
      <c r="H80" s="16">
        <v>97.1</v>
      </c>
      <c r="I80">
        <v>-84</v>
      </c>
      <c r="J80">
        <v>-19</v>
      </c>
      <c r="K80">
        <v>10</v>
      </c>
      <c r="L80" s="36">
        <v>-6</v>
      </c>
      <c r="M80" t="s">
        <v>411</v>
      </c>
    </row>
    <row r="81" spans="2:13" x14ac:dyDescent="0.2">
      <c r="B81" t="s">
        <v>121</v>
      </c>
      <c r="G81" s="42">
        <v>-11.3</v>
      </c>
      <c r="H81" s="16">
        <v>-14.3</v>
      </c>
      <c r="I81">
        <v>-16</v>
      </c>
      <c r="J81">
        <v>-19</v>
      </c>
      <c r="K81">
        <v>-19</v>
      </c>
      <c r="L81" s="36">
        <v>-27</v>
      </c>
      <c r="M81" t="s">
        <v>413</v>
      </c>
    </row>
    <row r="82" spans="2:13" x14ac:dyDescent="0.2">
      <c r="B82" t="s">
        <v>122</v>
      </c>
      <c r="G82" s="42">
        <v>0</v>
      </c>
      <c r="H82" s="16">
        <v>0</v>
      </c>
      <c r="I82">
        <v>-14</v>
      </c>
      <c r="J82">
        <v>-26</v>
      </c>
      <c r="K82">
        <v>-32</v>
      </c>
      <c r="L82" s="36">
        <v>-46</v>
      </c>
      <c r="M82" t="s">
        <v>414</v>
      </c>
    </row>
    <row r="83" spans="2:13" x14ac:dyDescent="0.2">
      <c r="B83" t="s">
        <v>123</v>
      </c>
      <c r="G83" s="42">
        <v>-0.2</v>
      </c>
      <c r="H83" s="16">
        <v>0</v>
      </c>
      <c r="I83">
        <v>0</v>
      </c>
      <c r="J83">
        <v>0</v>
      </c>
      <c r="K83">
        <v>0</v>
      </c>
      <c r="L83" s="36">
        <v>0</v>
      </c>
      <c r="M83" t="s">
        <v>414</v>
      </c>
    </row>
    <row r="84" spans="2:13" x14ac:dyDescent="0.2">
      <c r="B84" t="s">
        <v>124</v>
      </c>
      <c r="G84" s="42">
        <v>0</v>
      </c>
      <c r="H84" s="16">
        <v>300</v>
      </c>
      <c r="I84">
        <v>-3</v>
      </c>
      <c r="J84">
        <v>0</v>
      </c>
      <c r="K84">
        <v>241</v>
      </c>
      <c r="L84" s="36">
        <v>0</v>
      </c>
      <c r="M84" t="s">
        <v>412</v>
      </c>
    </row>
    <row r="85" spans="2:13" x14ac:dyDescent="0.2">
      <c r="B85" t="s">
        <v>125</v>
      </c>
      <c r="G85" s="42">
        <v>0</v>
      </c>
      <c r="H85" s="16">
        <v>-1.6</v>
      </c>
      <c r="I85">
        <v>0</v>
      </c>
      <c r="J85">
        <v>0</v>
      </c>
      <c r="K85">
        <v>-3</v>
      </c>
      <c r="L85" s="36">
        <v>-1</v>
      </c>
      <c r="M85" t="s">
        <v>412</v>
      </c>
    </row>
    <row r="86" spans="2:13" x14ac:dyDescent="0.2">
      <c r="B86" s="14" t="s">
        <v>126</v>
      </c>
      <c r="C86" s="15"/>
      <c r="D86" s="15"/>
      <c r="E86" s="15"/>
      <c r="F86" s="15"/>
      <c r="G86" s="43">
        <v>-9.1</v>
      </c>
      <c r="H86" s="19">
        <v>411</v>
      </c>
      <c r="I86" s="14">
        <v>-297</v>
      </c>
      <c r="J86" s="14">
        <v>-214</v>
      </c>
      <c r="K86" s="14">
        <v>197</v>
      </c>
      <c r="L86" s="40">
        <v>367</v>
      </c>
      <c r="M86" t="s">
        <v>416</v>
      </c>
    </row>
    <row r="87" spans="2:13" x14ac:dyDescent="0.2">
      <c r="B87" t="s">
        <v>127</v>
      </c>
      <c r="G87" s="42">
        <v>1.4</v>
      </c>
      <c r="H87" s="16">
        <v>-2.2999999999999998</v>
      </c>
      <c r="I87">
        <v>-1</v>
      </c>
      <c r="J87">
        <v>2</v>
      </c>
      <c r="K87">
        <v>0</v>
      </c>
      <c r="L87" s="36">
        <v>-3</v>
      </c>
      <c r="M87" t="s">
        <v>418</v>
      </c>
    </row>
    <row r="88" spans="2:13" x14ac:dyDescent="0.2">
      <c r="B88" s="14" t="s">
        <v>128</v>
      </c>
      <c r="C88" s="15"/>
      <c r="D88" s="15"/>
      <c r="E88" s="15"/>
      <c r="F88" s="15"/>
      <c r="G88" s="43">
        <v>-90.2</v>
      </c>
      <c r="H88" s="19">
        <v>508.1</v>
      </c>
      <c r="I88" s="14">
        <v>-116</v>
      </c>
      <c r="J88" s="14">
        <v>-69</v>
      </c>
      <c r="K88" s="14">
        <v>342</v>
      </c>
      <c r="L88" s="40">
        <v>-69</v>
      </c>
      <c r="M88" t="s">
        <v>419</v>
      </c>
    </row>
    <row r="89" spans="2:13" x14ac:dyDescent="0.2">
      <c r="B89" t="s">
        <v>117</v>
      </c>
      <c r="G89" s="42"/>
      <c r="H89" s="16"/>
      <c r="L89" s="36"/>
    </row>
    <row r="90" spans="2:13" x14ac:dyDescent="0.2">
      <c r="B90" t="s">
        <v>129</v>
      </c>
      <c r="G90" s="44">
        <v>227.5</v>
      </c>
      <c r="H90" s="20">
        <v>137.4</v>
      </c>
      <c r="I90" s="13">
        <v>645</v>
      </c>
      <c r="J90" s="13">
        <v>529</v>
      </c>
      <c r="K90" s="13">
        <v>460</v>
      </c>
      <c r="L90" s="41">
        <v>802</v>
      </c>
      <c r="M90" t="s">
        <v>420</v>
      </c>
    </row>
    <row r="91" spans="2:13" x14ac:dyDescent="0.2">
      <c r="B91" t="s">
        <v>130</v>
      </c>
      <c r="G91" s="44">
        <v>137.4</v>
      </c>
      <c r="H91" s="20">
        <v>645.5</v>
      </c>
      <c r="I91" s="13">
        <v>529</v>
      </c>
      <c r="J91" s="13">
        <v>460</v>
      </c>
      <c r="K91" s="13">
        <v>802</v>
      </c>
      <c r="L91" s="41">
        <v>733</v>
      </c>
    </row>
    <row r="93" spans="2:13" x14ac:dyDescent="0.2">
      <c r="B93" t="s">
        <v>304</v>
      </c>
      <c r="G93" s="68"/>
      <c r="H93" s="68"/>
      <c r="I93" s="68"/>
      <c r="J93" s="68"/>
      <c r="K93" s="68"/>
      <c r="L93" s="68"/>
    </row>
    <row r="94" spans="2:13" x14ac:dyDescent="0.2">
      <c r="B94" t="s">
        <v>305</v>
      </c>
    </row>
  </sheetData>
  <dataValidations count="1">
    <dataValidation type="list" allowBlank="1" showInputMessage="1" showErrorMessage="1" sqref="M53:M91" xr:uid="{391B8B2E-B2DF-E244-A4CF-B2F7B6F3F55D}">
      <formula1>$B$14:$B$40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F6F4-BBEC-134C-848D-3C882A505CEF}">
  <dimension ref="A1:AG87"/>
  <sheetViews>
    <sheetView showGridLines="0" topLeftCell="A12" zoomScale="80" zoomScaleNormal="120" workbookViewId="0">
      <selection activeCell="Z42" sqref="Z42:AD44"/>
    </sheetView>
  </sheetViews>
  <sheetFormatPr baseColWidth="10" defaultRowHeight="16" x14ac:dyDescent="0.2"/>
  <cols>
    <col min="8" max="17" width="11.5" bestFit="1" customWidth="1"/>
    <col min="19" max="19" width="22.33203125" customWidth="1"/>
  </cols>
  <sheetData>
    <row r="1" spans="1:22" ht="25" thickBot="1" x14ac:dyDescent="0.35">
      <c r="A1" s="10" t="str">
        <f>_xlfn.CONCAT(Inputs!C7, " - ", "Assumptions"," - ", "in ", Inputs!C9, " ", Inputs!C10)</f>
        <v>HAG - Assumptions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7" thickTop="1" x14ac:dyDescent="0.2"/>
    <row r="4" spans="1:22" x14ac:dyDescent="0.2">
      <c r="B4" t="s">
        <v>9</v>
      </c>
      <c r="D4" s="7"/>
      <c r="E4" s="7"/>
      <c r="F4" s="7"/>
      <c r="G4" s="9">
        <f>EDATE(Inputs!$C$8, G5*12)</f>
        <v>43830</v>
      </c>
      <c r="H4" s="9">
        <f>EDATE(Inputs!$C$8, H5*12)</f>
        <v>44196</v>
      </c>
      <c r="I4" s="9">
        <f>EDATE(Inputs!$C$8, I5*12)</f>
        <v>44561</v>
      </c>
      <c r="J4" s="9">
        <f>EDATE(Inputs!$C$8, J5*12)</f>
        <v>44926</v>
      </c>
      <c r="K4" s="9">
        <f>EDATE(Inputs!$C$8, K5*12)</f>
        <v>45291</v>
      </c>
      <c r="L4" s="9">
        <f>EDATE(Inputs!$C$8, L5*12)</f>
        <v>45657</v>
      </c>
      <c r="M4" s="9">
        <f>EDATE(Inputs!$C$8, M5*12)</f>
        <v>46022</v>
      </c>
      <c r="N4" s="9">
        <f>EDATE(Inputs!$C$8, N5*12)</f>
        <v>46387</v>
      </c>
      <c r="O4" s="9">
        <f>EDATE(Inputs!$C$8, O5*12)</f>
        <v>46752</v>
      </c>
      <c r="P4" s="9">
        <f>EDATE(Inputs!$C$8, P5*12)</f>
        <v>47118</v>
      </c>
      <c r="Q4" s="9">
        <f>EDATE(Inputs!$C$8, Q5*12)</f>
        <v>47483</v>
      </c>
      <c r="S4" s="13" t="s">
        <v>344</v>
      </c>
      <c r="V4" s="176">
        <f>Inputs!N7</f>
        <v>3</v>
      </c>
    </row>
    <row r="5" spans="1:22" x14ac:dyDescent="0.2">
      <c r="B5" t="s">
        <v>10</v>
      </c>
      <c r="D5" s="8"/>
      <c r="E5" s="8"/>
      <c r="F5" s="8"/>
      <c r="G5" s="8">
        <v>-5</v>
      </c>
      <c r="H5" s="8">
        <v>-4</v>
      </c>
      <c r="I5" s="8">
        <v>-3</v>
      </c>
      <c r="J5" s="8">
        <v>-2</v>
      </c>
      <c r="K5" s="8">
        <v>-1</v>
      </c>
      <c r="L5" s="8">
        <v>0</v>
      </c>
      <c r="M5" s="8">
        <v>1</v>
      </c>
      <c r="N5" s="8">
        <v>2</v>
      </c>
      <c r="O5" s="8">
        <v>3</v>
      </c>
      <c r="P5" s="8">
        <v>4</v>
      </c>
      <c r="Q5" s="8">
        <v>5</v>
      </c>
      <c r="S5" s="13" t="s">
        <v>345</v>
      </c>
      <c r="V5" s="176">
        <f>Inputs!N8</f>
        <v>3</v>
      </c>
    </row>
    <row r="6" spans="1:22" x14ac:dyDescent="0.2">
      <c r="B6" t="s">
        <v>11</v>
      </c>
      <c r="D6" s="8"/>
      <c r="E6" s="8"/>
      <c r="F6" s="8"/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O6" s="8" t="str">
        <f>_xlfn.CONCAT(Inputs!$C$9, " ", Inputs!$C$10)</f>
        <v>Euro millions</v>
      </c>
      <c r="P6" s="8" t="str">
        <f>_xlfn.CONCAT(Inputs!$C$9, " ", Inputs!$C$10)</f>
        <v>Euro millions</v>
      </c>
      <c r="Q6" s="8" t="str">
        <f>_xlfn.CONCAT(Inputs!$C$9, " ", Inputs!$C$10)</f>
        <v>Euro millions</v>
      </c>
      <c r="S6" s="13" t="s">
        <v>178</v>
      </c>
      <c r="V6" s="176">
        <f>Inputs!N9</f>
        <v>3</v>
      </c>
    </row>
    <row r="7" spans="1:22" x14ac:dyDescent="0.2">
      <c r="B7" t="s">
        <v>12</v>
      </c>
      <c r="D7" s="8"/>
      <c r="E7" s="8"/>
      <c r="F7" s="8"/>
      <c r="G7" s="8" t="str">
        <f>IF(G5&lt;=0, "Historical", "Forecasted")</f>
        <v>Historical</v>
      </c>
      <c r="H7" s="8" t="str">
        <f>IF(H5&lt;=0, "Historical", "Forecasted")</f>
        <v>Historical</v>
      </c>
      <c r="I7" s="8" t="str">
        <f t="shared" ref="I7:Q7" si="0">IF(I5&lt;=0, "Historical", "Forecasted")</f>
        <v>Historical</v>
      </c>
      <c r="J7" s="8" t="str">
        <f t="shared" si="0"/>
        <v>Historical</v>
      </c>
      <c r="K7" s="8" t="str">
        <f t="shared" si="0"/>
        <v>Historical</v>
      </c>
      <c r="L7" s="8" t="str">
        <f t="shared" si="0"/>
        <v>Historical</v>
      </c>
      <c r="M7" s="8" t="str">
        <f t="shared" si="0"/>
        <v>Forecasted</v>
      </c>
      <c r="N7" s="8" t="str">
        <f t="shared" si="0"/>
        <v>Forecasted</v>
      </c>
      <c r="O7" s="8" t="str">
        <f t="shared" si="0"/>
        <v>Forecasted</v>
      </c>
      <c r="P7" s="8" t="str">
        <f t="shared" si="0"/>
        <v>Forecasted</v>
      </c>
      <c r="Q7" s="8" t="str">
        <f t="shared" si="0"/>
        <v>Forecasted</v>
      </c>
      <c r="S7" s="13" t="s">
        <v>194</v>
      </c>
      <c r="V7" s="176">
        <f>Inputs!N10</f>
        <v>4</v>
      </c>
    </row>
    <row r="8" spans="1:22" x14ac:dyDescent="0.2"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S8" s="13" t="s">
        <v>186</v>
      </c>
      <c r="V8" s="176">
        <f>Inputs!N11</f>
        <v>3</v>
      </c>
    </row>
    <row r="9" spans="1:22" x14ac:dyDescent="0.2">
      <c r="S9" s="13" t="s">
        <v>192</v>
      </c>
      <c r="V9" s="176">
        <f>Inputs!N12</f>
        <v>3</v>
      </c>
    </row>
    <row r="10" spans="1:22" x14ac:dyDescent="0.2">
      <c r="S10" s="13" t="s">
        <v>346</v>
      </c>
      <c r="V10" s="176">
        <f>Inputs!N13</f>
        <v>3</v>
      </c>
    </row>
    <row r="11" spans="1:22" ht="25" thickBot="1" x14ac:dyDescent="0.35">
      <c r="B11" s="17" t="s">
        <v>134</v>
      </c>
      <c r="C11" s="17"/>
      <c r="Q11" s="68">
        <f>((Q22/L22)^(1/5))-1</f>
        <v>0.17841292920283647</v>
      </c>
    </row>
    <row r="14" spans="1:22" x14ac:dyDescent="0.2">
      <c r="B14" s="13" t="s">
        <v>170</v>
      </c>
    </row>
    <row r="15" spans="1:22" x14ac:dyDescent="0.2">
      <c r="B15" t="s">
        <v>171</v>
      </c>
      <c r="G15" s="63"/>
      <c r="H15" s="73">
        <v>2202</v>
      </c>
      <c r="I15" s="73">
        <v>3424</v>
      </c>
      <c r="J15" s="73">
        <v>5092</v>
      </c>
      <c r="K15" s="73">
        <v>5366</v>
      </c>
      <c r="L15" s="73">
        <v>5530</v>
      </c>
      <c r="M15" s="74">
        <v>6644</v>
      </c>
      <c r="N15" s="49">
        <f>M21</f>
        <v>8238.6</v>
      </c>
      <c r="O15" s="49">
        <f>N21</f>
        <v>9457.0955999999987</v>
      </c>
      <c r="P15" s="49">
        <f>O21</f>
        <v>11273.992919999999</v>
      </c>
      <c r="Q15" s="49">
        <f>P21</f>
        <v>13259.585758319998</v>
      </c>
      <c r="S15" s="13" t="s">
        <v>348</v>
      </c>
    </row>
    <row r="16" spans="1:22" x14ac:dyDescent="0.2">
      <c r="B16" t="s">
        <v>177</v>
      </c>
      <c r="G16" s="69"/>
      <c r="H16" s="69">
        <f>H17/H15</f>
        <v>0.54768392370572205</v>
      </c>
      <c r="I16" s="69">
        <f>I17/I15</f>
        <v>0.4304906542056075</v>
      </c>
      <c r="J16" s="69">
        <f>J17/J15</f>
        <v>0.33523173605655932</v>
      </c>
      <c r="K16" s="69">
        <f>K17/K15</f>
        <v>0.34923592992918373</v>
      </c>
      <c r="L16" s="69">
        <f>L17/L15</f>
        <v>0.4050632911392405</v>
      </c>
      <c r="M16" s="92">
        <f>CHOOSE($V$4, M25, M26,M27,M28)</f>
        <v>0.35</v>
      </c>
      <c r="N16" s="92">
        <f t="shared" ref="N16:Q16" si="1">CHOOSE($V$4, N25, N26,N27,N28)</f>
        <v>0.35</v>
      </c>
      <c r="O16" s="92">
        <f t="shared" si="1"/>
        <v>0.35</v>
      </c>
      <c r="P16" s="92">
        <f t="shared" si="1"/>
        <v>0.35</v>
      </c>
      <c r="Q16" s="92">
        <f t="shared" si="1"/>
        <v>0.35</v>
      </c>
    </row>
    <row r="17" spans="1:33" x14ac:dyDescent="0.2">
      <c r="B17" t="s">
        <v>446</v>
      </c>
      <c r="G17" s="72">
        <v>1114</v>
      </c>
      <c r="H17" s="75">
        <f>U35</f>
        <v>1206</v>
      </c>
      <c r="I17" s="75">
        <f>V35</f>
        <v>1474</v>
      </c>
      <c r="J17" s="75">
        <f>W35</f>
        <v>1707</v>
      </c>
      <c r="K17" s="75">
        <f>X35</f>
        <v>1874</v>
      </c>
      <c r="L17" s="75">
        <f>Y35</f>
        <v>2240</v>
      </c>
      <c r="M17" s="49">
        <f>M15*M16</f>
        <v>2325.3999999999996</v>
      </c>
      <c r="N17" s="49">
        <f>N15*N16</f>
        <v>2883.5099999999998</v>
      </c>
      <c r="O17" s="49">
        <f>O15*O16</f>
        <v>3309.9834599999995</v>
      </c>
      <c r="P17" s="49">
        <f>P15*P16</f>
        <v>3945.8975219999993</v>
      </c>
      <c r="Q17" s="49">
        <f>Q15*Q16</f>
        <v>4640.8550154119985</v>
      </c>
      <c r="S17" s="300" t="s">
        <v>350</v>
      </c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</row>
    <row r="18" spans="1:33" x14ac:dyDescent="0.2">
      <c r="B18" t="s">
        <v>172</v>
      </c>
      <c r="G18" s="71"/>
      <c r="H18" s="69">
        <f>(H17-G17)/G17</f>
        <v>8.2585278276481155E-2</v>
      </c>
      <c r="I18" s="69">
        <f>(I17-H17)/H17</f>
        <v>0.22222222222222221</v>
      </c>
      <c r="J18" s="69">
        <f>(J17-I17)/I17</f>
        <v>0.15807327001356852</v>
      </c>
      <c r="K18" s="69">
        <f>(K17-J17)/J17</f>
        <v>9.7832454598711191E-2</v>
      </c>
      <c r="L18" s="69">
        <f>(L17-K17)/K17</f>
        <v>0.19530416221985059</v>
      </c>
      <c r="M18" s="92">
        <f>CHOOSE($V$5,M31,M32,M33,M34)</f>
        <v>0.25</v>
      </c>
      <c r="N18" s="92">
        <f t="shared" ref="N18:Q18" si="2">CHOOSE($V$5,N31,N32,N33,N34)</f>
        <v>0.26</v>
      </c>
      <c r="O18" s="92">
        <f t="shared" si="2"/>
        <v>0.27</v>
      </c>
      <c r="P18" s="92">
        <f t="shared" si="2"/>
        <v>0.28000000000000003</v>
      </c>
      <c r="Q18" s="92">
        <f t="shared" si="2"/>
        <v>0.28999999999999998</v>
      </c>
      <c r="S18" s="170" t="s">
        <v>736</v>
      </c>
      <c r="AG18" s="208"/>
    </row>
    <row r="19" spans="1:33" x14ac:dyDescent="0.2">
      <c r="B19" t="s">
        <v>178</v>
      </c>
      <c r="G19" s="76">
        <f>1040/1114</f>
        <v>0.93357271095152605</v>
      </c>
      <c r="H19" s="76">
        <f>2541/1206</f>
        <v>2.1069651741293534</v>
      </c>
      <c r="I19" s="76">
        <v>2.2000000000000002</v>
      </c>
      <c r="J19" s="76">
        <v>1.2</v>
      </c>
      <c r="K19" s="76">
        <v>1.1000000000000001</v>
      </c>
      <c r="L19" s="76">
        <v>1.3</v>
      </c>
      <c r="M19" s="93">
        <f>CHOOSE($V$6,M37,M38,M39,M40)</f>
        <v>1.4</v>
      </c>
      <c r="N19" s="93">
        <f t="shared" ref="N19:Q19" si="3">CHOOSE($V$6,N37,N38,N39,N40)</f>
        <v>1.4</v>
      </c>
      <c r="O19" s="93">
        <f t="shared" si="3"/>
        <v>1.4</v>
      </c>
      <c r="P19" s="93">
        <f t="shared" si="3"/>
        <v>1.4</v>
      </c>
      <c r="Q19" s="93">
        <f t="shared" si="3"/>
        <v>1.4</v>
      </c>
      <c r="S19" s="170" t="s">
        <v>737</v>
      </c>
      <c r="AG19" s="208"/>
    </row>
    <row r="20" spans="1:33" x14ac:dyDescent="0.2">
      <c r="B20" t="s">
        <v>179</v>
      </c>
      <c r="G20" s="73">
        <v>1040</v>
      </c>
      <c r="H20" s="73">
        <v>2541</v>
      </c>
      <c r="I20" s="73">
        <v>3171</v>
      </c>
      <c r="J20" s="73">
        <v>1993</v>
      </c>
      <c r="K20" s="73">
        <v>2087</v>
      </c>
      <c r="L20" s="73">
        <v>2904</v>
      </c>
      <c r="M20" s="49">
        <f>M22*M19</f>
        <v>3919.9999999999995</v>
      </c>
      <c r="N20" s="49">
        <f>N22*N19</f>
        <v>4102.0055999999986</v>
      </c>
      <c r="O20" s="49">
        <f>O22*O19</f>
        <v>5126.8807799999995</v>
      </c>
      <c r="P20" s="49">
        <f>P22*P19</f>
        <v>5931.4903603199982</v>
      </c>
      <c r="Q20" s="49">
        <f>Q22*Q19</f>
        <v>7126.2909247319985</v>
      </c>
      <c r="S20" s="170" t="s">
        <v>738</v>
      </c>
      <c r="AG20" s="208"/>
    </row>
    <row r="21" spans="1:33" x14ac:dyDescent="0.2">
      <c r="B21" t="s">
        <v>184</v>
      </c>
      <c r="G21" s="63">
        <f t="shared" ref="G21:Q21" si="4">G15+G20-G17</f>
        <v>-74</v>
      </c>
      <c r="H21" s="63">
        <f t="shared" si="4"/>
        <v>3537</v>
      </c>
      <c r="I21" s="63">
        <f t="shared" si="4"/>
        <v>5121</v>
      </c>
      <c r="J21" s="63">
        <f t="shared" si="4"/>
        <v>5378</v>
      </c>
      <c r="K21" s="63">
        <f t="shared" si="4"/>
        <v>5579</v>
      </c>
      <c r="L21" s="63">
        <f t="shared" si="4"/>
        <v>6194</v>
      </c>
      <c r="M21" s="49">
        <f t="shared" si="4"/>
        <v>8238.6</v>
      </c>
      <c r="N21" s="49">
        <f t="shared" si="4"/>
        <v>9457.0955999999987</v>
      </c>
      <c r="O21" s="49">
        <f t="shared" si="4"/>
        <v>11273.992919999999</v>
      </c>
      <c r="P21" s="49">
        <f t="shared" si="4"/>
        <v>13259.585758319998</v>
      </c>
      <c r="Q21" s="49">
        <f t="shared" si="4"/>
        <v>15745.021667639998</v>
      </c>
      <c r="S21" s="170"/>
      <c r="AG21" s="208"/>
    </row>
    <row r="22" spans="1:33" ht="17" thickBot="1" x14ac:dyDescent="0.25">
      <c r="B22" s="25" t="s">
        <v>183</v>
      </c>
      <c r="C22" s="26"/>
      <c r="D22" s="26"/>
      <c r="E22" s="26"/>
      <c r="F22" s="26"/>
      <c r="G22" s="70"/>
      <c r="H22" s="70">
        <f t="shared" ref="H22:Q22" si="5">G17*(1+H18)</f>
        <v>1206</v>
      </c>
      <c r="I22" s="70">
        <f t="shared" si="5"/>
        <v>1474.0000000000002</v>
      </c>
      <c r="J22" s="70">
        <f t="shared" si="5"/>
        <v>1707</v>
      </c>
      <c r="K22" s="70">
        <f t="shared" si="5"/>
        <v>1874.0000000000002</v>
      </c>
      <c r="L22" s="70">
        <f t="shared" si="5"/>
        <v>2240</v>
      </c>
      <c r="M22" s="70">
        <f>L17*(1+M18)</f>
        <v>2800</v>
      </c>
      <c r="N22" s="70">
        <f>M17*(1+N18)</f>
        <v>2930.0039999999995</v>
      </c>
      <c r="O22" s="70">
        <f t="shared" si="5"/>
        <v>3662.0576999999998</v>
      </c>
      <c r="P22" s="70">
        <f t="shared" si="5"/>
        <v>4236.7788287999992</v>
      </c>
      <c r="Q22" s="70">
        <f t="shared" si="5"/>
        <v>5090.2078033799989</v>
      </c>
      <c r="S22" s="290" t="s">
        <v>351</v>
      </c>
      <c r="AG22" s="208"/>
    </row>
    <row r="23" spans="1:33" x14ac:dyDescent="0.2">
      <c r="Q23" s="68"/>
      <c r="S23" s="170" t="s">
        <v>739</v>
      </c>
      <c r="AG23" s="208"/>
    </row>
    <row r="24" spans="1:33" x14ac:dyDescent="0.2">
      <c r="B24" s="13" t="s">
        <v>182</v>
      </c>
      <c r="S24" s="170" t="s">
        <v>740</v>
      </c>
      <c r="AG24" s="208"/>
    </row>
    <row r="25" spans="1:33" x14ac:dyDescent="0.2">
      <c r="A25">
        <v>1</v>
      </c>
      <c r="B25" t="s">
        <v>135</v>
      </c>
      <c r="G25" s="50"/>
      <c r="H25" s="69"/>
      <c r="I25" s="69"/>
      <c r="J25" s="69"/>
      <c r="K25" s="69"/>
      <c r="L25" s="69"/>
      <c r="M25" s="77">
        <v>0.28000000000000003</v>
      </c>
      <c r="N25" s="77">
        <v>0.28000000000000003</v>
      </c>
      <c r="O25" s="77">
        <v>0.28000000000000003</v>
      </c>
      <c r="P25" s="77">
        <v>0.28000000000000003</v>
      </c>
      <c r="Q25" s="77">
        <v>0.28000000000000003</v>
      </c>
      <c r="S25" s="170"/>
      <c r="AG25" s="208"/>
    </row>
    <row r="26" spans="1:33" x14ac:dyDescent="0.2">
      <c r="A26">
        <v>2</v>
      </c>
      <c r="B26" t="s">
        <v>136</v>
      </c>
      <c r="G26" s="50"/>
      <c r="H26" s="69"/>
      <c r="I26" s="69"/>
      <c r="J26" s="69"/>
      <c r="K26" s="69"/>
      <c r="L26" s="69"/>
      <c r="M26" s="77">
        <v>0.31</v>
      </c>
      <c r="N26" s="77">
        <v>0.31</v>
      </c>
      <c r="O26" s="77">
        <v>0.31</v>
      </c>
      <c r="P26" s="77">
        <v>0.31</v>
      </c>
      <c r="Q26" s="77">
        <v>0.31</v>
      </c>
      <c r="S26" s="290" t="s">
        <v>352</v>
      </c>
      <c r="AG26" s="208"/>
    </row>
    <row r="27" spans="1:33" x14ac:dyDescent="0.2">
      <c r="A27">
        <v>3</v>
      </c>
      <c r="B27" t="s">
        <v>137</v>
      </c>
      <c r="G27" s="50"/>
      <c r="H27" s="69"/>
      <c r="I27" s="69"/>
      <c r="J27" s="69"/>
      <c r="K27" s="69"/>
      <c r="L27" s="69"/>
      <c r="M27" s="77">
        <v>0.35</v>
      </c>
      <c r="N27" s="77">
        <v>0.35</v>
      </c>
      <c r="O27" s="77">
        <v>0.35</v>
      </c>
      <c r="P27" s="77">
        <v>0.35</v>
      </c>
      <c r="Q27" s="77">
        <v>0.35</v>
      </c>
      <c r="S27" s="170" t="s">
        <v>742</v>
      </c>
      <c r="AG27" s="208"/>
    </row>
    <row r="28" spans="1:33" x14ac:dyDescent="0.2">
      <c r="A28">
        <v>4</v>
      </c>
      <c r="B28" t="s">
        <v>138</v>
      </c>
      <c r="G28" s="50"/>
      <c r="H28" s="69"/>
      <c r="I28" s="69"/>
      <c r="J28" s="69"/>
      <c r="K28" s="69"/>
      <c r="L28" s="69"/>
      <c r="M28" s="77">
        <v>0.3</v>
      </c>
      <c r="N28" s="77">
        <v>0.3</v>
      </c>
      <c r="O28" s="77">
        <v>0.3</v>
      </c>
      <c r="P28" s="77">
        <v>0.3</v>
      </c>
      <c r="Q28" s="77">
        <v>0.3</v>
      </c>
      <c r="S28" s="170" t="s">
        <v>743</v>
      </c>
      <c r="AG28" s="208"/>
    </row>
    <row r="29" spans="1:33" x14ac:dyDescent="0.2">
      <c r="S29" s="170" t="s">
        <v>744</v>
      </c>
      <c r="AG29" s="208"/>
    </row>
    <row r="30" spans="1:33" x14ac:dyDescent="0.2">
      <c r="B30" s="13" t="s">
        <v>345</v>
      </c>
      <c r="G30" s="16"/>
      <c r="H30" s="16"/>
      <c r="I30" s="16"/>
      <c r="J30" s="16"/>
      <c r="K30" s="16"/>
      <c r="L30" s="16"/>
      <c r="S30" s="86" t="s">
        <v>745</v>
      </c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09"/>
    </row>
    <row r="31" spans="1:33" x14ac:dyDescent="0.2">
      <c r="B31" t="s">
        <v>135</v>
      </c>
      <c r="G31" s="63"/>
      <c r="H31" s="63"/>
      <c r="I31" s="63"/>
      <c r="J31" s="63"/>
      <c r="K31" s="63"/>
      <c r="L31" s="63"/>
      <c r="M31" s="79">
        <v>0.2</v>
      </c>
      <c r="N31" s="79">
        <v>0.19</v>
      </c>
      <c r="O31" s="79">
        <v>0.18</v>
      </c>
      <c r="P31" s="79">
        <v>0.18</v>
      </c>
      <c r="Q31" s="79">
        <v>0.18</v>
      </c>
    </row>
    <row r="32" spans="1:33" x14ac:dyDescent="0.2">
      <c r="B32" t="s">
        <v>136</v>
      </c>
      <c r="G32" s="63"/>
      <c r="H32" s="63"/>
      <c r="I32" s="63"/>
      <c r="J32" s="63"/>
      <c r="K32" s="63"/>
      <c r="L32" s="63"/>
      <c r="M32" s="79">
        <v>0.22</v>
      </c>
      <c r="N32" s="79">
        <v>0.22</v>
      </c>
      <c r="O32" s="79">
        <v>0.22</v>
      </c>
      <c r="P32" s="79">
        <v>0.22</v>
      </c>
      <c r="Q32" s="79">
        <v>0.22</v>
      </c>
    </row>
    <row r="33" spans="2:30" x14ac:dyDescent="0.2">
      <c r="B33" t="s">
        <v>137</v>
      </c>
      <c r="G33" s="63"/>
      <c r="H33" s="63"/>
      <c r="I33" s="63"/>
      <c r="J33" s="63"/>
      <c r="K33" s="63"/>
      <c r="L33" s="63"/>
      <c r="M33" s="79">
        <v>0.25</v>
      </c>
      <c r="N33" s="79">
        <v>0.26</v>
      </c>
      <c r="O33" s="79">
        <v>0.27</v>
      </c>
      <c r="P33" s="79">
        <v>0.28000000000000003</v>
      </c>
      <c r="Q33" s="79">
        <v>0.28999999999999998</v>
      </c>
      <c r="S33" s="83" t="s">
        <v>173</v>
      </c>
      <c r="T33" s="125">
        <v>2019</v>
      </c>
      <c r="U33" s="125">
        <v>2020</v>
      </c>
      <c r="V33" s="125">
        <v>2021</v>
      </c>
      <c r="W33" s="125">
        <v>2022</v>
      </c>
      <c r="X33" s="125">
        <v>2023</v>
      </c>
      <c r="Y33" s="126">
        <v>2024</v>
      </c>
    </row>
    <row r="34" spans="2:30" x14ac:dyDescent="0.2">
      <c r="B34" t="s">
        <v>138</v>
      </c>
      <c r="G34" s="63"/>
      <c r="H34" s="63"/>
      <c r="I34" s="63"/>
      <c r="J34" s="63"/>
      <c r="K34" s="63"/>
      <c r="L34" s="63"/>
      <c r="M34" s="79">
        <v>0.24</v>
      </c>
      <c r="N34" s="79">
        <v>0.25</v>
      </c>
      <c r="O34" s="79">
        <v>0.26</v>
      </c>
      <c r="P34" s="79">
        <v>0.26</v>
      </c>
      <c r="Q34" s="79">
        <v>0.26</v>
      </c>
      <c r="S34" s="32" t="s">
        <v>174</v>
      </c>
      <c r="T34">
        <v>2202</v>
      </c>
      <c r="U34">
        <v>3424</v>
      </c>
      <c r="V34">
        <v>5092</v>
      </c>
      <c r="W34">
        <v>5366</v>
      </c>
      <c r="X34">
        <v>5530</v>
      </c>
      <c r="Y34" s="36">
        <v>6644</v>
      </c>
    </row>
    <row r="35" spans="2:30" x14ac:dyDescent="0.2">
      <c r="S35" s="32" t="s">
        <v>175</v>
      </c>
      <c r="T35">
        <v>1114</v>
      </c>
      <c r="U35">
        <v>1206</v>
      </c>
      <c r="V35">
        <v>1474</v>
      </c>
      <c r="W35">
        <v>1707</v>
      </c>
      <c r="X35">
        <v>1874</v>
      </c>
      <c r="Y35" s="36">
        <v>2240</v>
      </c>
    </row>
    <row r="36" spans="2:30" x14ac:dyDescent="0.2">
      <c r="B36" s="13" t="s">
        <v>181</v>
      </c>
      <c r="S36" s="51" t="s">
        <v>176</v>
      </c>
      <c r="T36" s="128">
        <f>U35/T34</f>
        <v>0.54768392370572205</v>
      </c>
      <c r="U36" s="128">
        <f>V35/U34</f>
        <v>0.4304906542056075</v>
      </c>
      <c r="V36" s="128">
        <f>W35/V34</f>
        <v>0.33523173605655932</v>
      </c>
      <c r="W36" s="128">
        <f>X35/W34</f>
        <v>0.34923592992918373</v>
      </c>
      <c r="X36" s="128">
        <f>Y35/X34</f>
        <v>0.4050632911392405</v>
      </c>
      <c r="Y36" s="129">
        <f>Z7/Y34</f>
        <v>0</v>
      </c>
    </row>
    <row r="37" spans="2:30" x14ac:dyDescent="0.2">
      <c r="B37" t="s">
        <v>135</v>
      </c>
      <c r="G37" s="50"/>
      <c r="H37" s="50"/>
      <c r="I37" s="50"/>
      <c r="J37" s="50"/>
      <c r="K37" s="50"/>
      <c r="L37" s="50"/>
      <c r="M37" s="78">
        <v>1.2</v>
      </c>
      <c r="N37" s="78">
        <v>1.2</v>
      </c>
      <c r="O37" s="78">
        <v>1.2</v>
      </c>
      <c r="P37" s="78">
        <v>1.2</v>
      </c>
      <c r="Q37" s="78">
        <v>1.2</v>
      </c>
      <c r="S37" s="32" t="s">
        <v>454</v>
      </c>
      <c r="U37" s="128">
        <f>(U34-T34)/T34</f>
        <v>0.55495004541326065</v>
      </c>
      <c r="V37" s="128">
        <f t="shared" ref="V37:Y38" si="6">(V34-U34)/U34</f>
        <v>0.48714953271028039</v>
      </c>
      <c r="W37" s="128">
        <f t="shared" si="6"/>
        <v>5.3809897879025924E-2</v>
      </c>
      <c r="X37" s="128">
        <f t="shared" si="6"/>
        <v>3.0562802832650018E-2</v>
      </c>
      <c r="Y37" s="129">
        <f t="shared" si="6"/>
        <v>0.20144665461121158</v>
      </c>
    </row>
    <row r="38" spans="2:30" x14ac:dyDescent="0.2">
      <c r="B38" t="s">
        <v>136</v>
      </c>
      <c r="G38" s="50"/>
      <c r="H38" s="50"/>
      <c r="I38" s="50"/>
      <c r="J38" s="50"/>
      <c r="K38" s="50"/>
      <c r="L38" s="50"/>
      <c r="M38" s="78">
        <v>1.3</v>
      </c>
      <c r="N38" s="78">
        <v>1.3</v>
      </c>
      <c r="O38" s="78">
        <v>1.3</v>
      </c>
      <c r="P38" s="78">
        <v>1.3</v>
      </c>
      <c r="Q38" s="78">
        <v>1.3</v>
      </c>
      <c r="S38" s="86" t="s">
        <v>455</v>
      </c>
      <c r="T38" s="22"/>
      <c r="U38" s="130">
        <f>(U35-T35)/T35</f>
        <v>8.2585278276481155E-2</v>
      </c>
      <c r="V38" s="130">
        <f t="shared" si="6"/>
        <v>0.22222222222222221</v>
      </c>
      <c r="W38" s="130">
        <f t="shared" si="6"/>
        <v>0.15807327001356852</v>
      </c>
      <c r="X38" s="130">
        <f t="shared" si="6"/>
        <v>9.7832454598711191E-2</v>
      </c>
      <c r="Y38" s="131">
        <f t="shared" si="6"/>
        <v>0.19530416221985059</v>
      </c>
    </row>
    <row r="39" spans="2:30" x14ac:dyDescent="0.2">
      <c r="B39" t="s">
        <v>137</v>
      </c>
      <c r="G39" s="50"/>
      <c r="H39" s="50"/>
      <c r="I39" s="50"/>
      <c r="J39" s="50"/>
      <c r="K39" s="50"/>
      <c r="L39" s="50"/>
      <c r="M39" s="78">
        <v>1.4</v>
      </c>
      <c r="N39" s="78">
        <v>1.4</v>
      </c>
      <c r="O39" s="78">
        <v>1.4</v>
      </c>
      <c r="P39" s="78">
        <v>1.4</v>
      </c>
      <c r="Q39" s="78">
        <v>1.4</v>
      </c>
    </row>
    <row r="40" spans="2:30" x14ac:dyDescent="0.2">
      <c r="B40" t="s">
        <v>138</v>
      </c>
      <c r="G40" s="50"/>
      <c r="H40" s="50"/>
      <c r="I40" s="50"/>
      <c r="J40" s="50"/>
      <c r="K40" s="50"/>
      <c r="L40" s="50"/>
      <c r="M40" s="78">
        <v>1.3</v>
      </c>
      <c r="N40" s="78">
        <v>1.35</v>
      </c>
      <c r="O40" s="78">
        <v>1.4</v>
      </c>
      <c r="P40" s="78">
        <v>1.5</v>
      </c>
      <c r="Q40" s="78">
        <v>1.5</v>
      </c>
    </row>
    <row r="41" spans="2:30" x14ac:dyDescent="0.2">
      <c r="S41" s="83" t="s">
        <v>193</v>
      </c>
      <c r="T41" s="125">
        <v>2019</v>
      </c>
      <c r="U41" s="125">
        <v>2020</v>
      </c>
      <c r="V41" s="125">
        <v>2021</v>
      </c>
      <c r="W41" s="125">
        <v>2022</v>
      </c>
      <c r="X41" s="125">
        <v>2023</v>
      </c>
      <c r="Y41" s="126">
        <v>2024</v>
      </c>
    </row>
    <row r="42" spans="2:30" ht="25" thickBot="1" x14ac:dyDescent="0.35">
      <c r="B42" s="17" t="s">
        <v>139</v>
      </c>
      <c r="C42" s="17"/>
      <c r="S42" s="32" t="s">
        <v>14</v>
      </c>
      <c r="T42" s="16">
        <f>IS!D10</f>
        <v>1114.2</v>
      </c>
      <c r="U42" s="16">
        <f>IS!E10</f>
        <v>1206.9000000000001</v>
      </c>
      <c r="V42" s="16">
        <f>IS!F10</f>
        <v>1474</v>
      </c>
      <c r="W42" s="16">
        <f>IS!G10</f>
        <v>1707</v>
      </c>
      <c r="X42" s="16">
        <f>IS!H10</f>
        <v>1847</v>
      </c>
      <c r="Y42" s="127">
        <f>IS!I10</f>
        <v>2240</v>
      </c>
      <c r="Z42" s="16">
        <f>M22</f>
        <v>2800</v>
      </c>
      <c r="AA42" s="16">
        <f t="shared" ref="AA42:AD42" si="7">N22</f>
        <v>2930.0039999999995</v>
      </c>
      <c r="AB42" s="16">
        <f t="shared" si="7"/>
        <v>3662.0576999999998</v>
      </c>
      <c r="AC42" s="16">
        <f t="shared" si="7"/>
        <v>4236.7788287999992</v>
      </c>
      <c r="AD42" s="16">
        <f t="shared" si="7"/>
        <v>5090.2078033799989</v>
      </c>
    </row>
    <row r="43" spans="2:30" x14ac:dyDescent="0.2">
      <c r="S43" s="32" t="s">
        <v>194</v>
      </c>
      <c r="T43" s="16">
        <f>IS!D11</f>
        <v>-859.3</v>
      </c>
      <c r="U43" s="16">
        <f>IS!E11</f>
        <v>-936.1</v>
      </c>
      <c r="V43" s="16">
        <f>IS!F11</f>
        <v>-1144</v>
      </c>
      <c r="W43" s="16">
        <f>IS!G11</f>
        <v>-1314</v>
      </c>
      <c r="X43" s="16">
        <f>IS!H11</f>
        <v>-1427</v>
      </c>
      <c r="Y43" s="127">
        <f>IS!I11</f>
        <v>-1732</v>
      </c>
      <c r="Z43">
        <f>M45*-1</f>
        <v>-1959.9999999999998</v>
      </c>
      <c r="AA43">
        <f t="shared" ref="AA43:AD43" si="8">N45*-1</f>
        <v>-2021.7027599999994</v>
      </c>
      <c r="AB43">
        <f t="shared" si="8"/>
        <v>-2490.1992359999999</v>
      </c>
      <c r="AC43">
        <f t="shared" si="8"/>
        <v>-2881.0096035839997</v>
      </c>
      <c r="AD43">
        <f t="shared" si="8"/>
        <v>-3461.3413062983996</v>
      </c>
    </row>
    <row r="44" spans="2:30" x14ac:dyDescent="0.2">
      <c r="B44" s="13" t="s">
        <v>198</v>
      </c>
      <c r="S44" s="51" t="s">
        <v>195</v>
      </c>
      <c r="T44" s="128">
        <f t="shared" ref="T44:X44" si="9">1-((-1)*T43/T42)</f>
        <v>0.22877400825704552</v>
      </c>
      <c r="U44" s="128">
        <f t="shared" si="9"/>
        <v>0.22437650178142354</v>
      </c>
      <c r="V44" s="128">
        <f t="shared" si="9"/>
        <v>0.22388059701492535</v>
      </c>
      <c r="W44" s="128">
        <f t="shared" si="9"/>
        <v>0.23022847100175747</v>
      </c>
      <c r="X44" s="128">
        <f t="shared" si="9"/>
        <v>0.22739577693557123</v>
      </c>
      <c r="Y44" s="129">
        <f>1-((-1)*Y43/Y42)</f>
        <v>0.22678571428571426</v>
      </c>
      <c r="Z44" s="129">
        <f>1-((-1)*Z43/Z42)</f>
        <v>0.30000000000000004</v>
      </c>
      <c r="AA44" s="129">
        <f t="shared" ref="AA44:AD44" si="10">1-((-1)*AA43/AA42)</f>
        <v>0.31000000000000005</v>
      </c>
      <c r="AB44" s="129">
        <f t="shared" si="10"/>
        <v>0.31999999999999995</v>
      </c>
      <c r="AC44" s="129">
        <f t="shared" si="10"/>
        <v>0.31999999999999995</v>
      </c>
      <c r="AD44" s="129">
        <f t="shared" si="10"/>
        <v>0.31999999999999995</v>
      </c>
    </row>
    <row r="45" spans="2:30" x14ac:dyDescent="0.2">
      <c r="B45" t="s">
        <v>203</v>
      </c>
      <c r="G45" s="50"/>
      <c r="H45" s="50"/>
      <c r="I45" s="50"/>
      <c r="J45" s="50"/>
      <c r="K45" s="50"/>
      <c r="L45" s="50"/>
      <c r="M45" s="49">
        <f>M22*M46</f>
        <v>1959.9999999999998</v>
      </c>
      <c r="N45" s="49">
        <f t="shared" ref="N45:Q45" si="11">N22*N46</f>
        <v>2021.7027599999994</v>
      </c>
      <c r="O45" s="49">
        <f t="shared" si="11"/>
        <v>2490.1992359999999</v>
      </c>
      <c r="P45" s="49">
        <f t="shared" si="11"/>
        <v>2881.0096035839997</v>
      </c>
      <c r="Q45" s="49">
        <f t="shared" si="11"/>
        <v>3461.3413062983996</v>
      </c>
      <c r="S45" s="32"/>
      <c r="Y45" s="36"/>
    </row>
    <row r="46" spans="2:30" x14ac:dyDescent="0.2">
      <c r="B46" t="s">
        <v>200</v>
      </c>
      <c r="G46" s="50"/>
      <c r="H46" s="50"/>
      <c r="I46" s="50"/>
      <c r="J46" s="50"/>
      <c r="K46" s="50"/>
      <c r="L46" s="50"/>
      <c r="M46" s="92">
        <f>CHOOSE($V$7, M57,M58,M59,M60)</f>
        <v>0.7</v>
      </c>
      <c r="N46" s="92">
        <f>CHOOSE($V$7, N57,N58,N59,N60)</f>
        <v>0.69</v>
      </c>
      <c r="O46" s="92">
        <f t="shared" ref="O46:Q46" si="12">CHOOSE($V$7, O57,O58,O59,O60)</f>
        <v>0.68</v>
      </c>
      <c r="P46" s="92">
        <f t="shared" si="12"/>
        <v>0.68</v>
      </c>
      <c r="Q46" s="92">
        <f t="shared" si="12"/>
        <v>0.68</v>
      </c>
      <c r="S46" s="32" t="s">
        <v>197</v>
      </c>
      <c r="T46" s="128">
        <f>(-1*IS!D31/T42)</f>
        <v>7.6108418596302269E-2</v>
      </c>
      <c r="U46" s="128">
        <f>(-1*IS!E31/U42)</f>
        <v>7.4736929323059073E-2</v>
      </c>
      <c r="V46" s="128">
        <f>(-1*IS!F31/V42)</f>
        <v>6.7164179104477612E-2</v>
      </c>
      <c r="W46" s="128">
        <f>(-1*IS!G31/W42)</f>
        <v>6.2683069712946696E-2</v>
      </c>
      <c r="X46" s="128">
        <f>(-1*IS!H31/X42)</f>
        <v>6.0097455332972387E-2</v>
      </c>
      <c r="Y46" s="129">
        <f>(-1*IS!I31/Y42)</f>
        <v>5.7142857142857141E-2</v>
      </c>
    </row>
    <row r="47" spans="2:30" x14ac:dyDescent="0.2">
      <c r="B47" t="s">
        <v>202</v>
      </c>
      <c r="G47" s="50"/>
      <c r="H47" s="50"/>
      <c r="I47" s="50"/>
      <c r="J47" s="50"/>
      <c r="K47" s="50"/>
      <c r="L47" s="50"/>
      <c r="M47" s="49">
        <f>M48*M22</f>
        <v>252</v>
      </c>
      <c r="N47" s="49">
        <f t="shared" ref="N47:Q47" si="13">N48*N22</f>
        <v>263.70035999999993</v>
      </c>
      <c r="O47" s="49">
        <f t="shared" si="13"/>
        <v>329.58519299999995</v>
      </c>
      <c r="P47" s="49">
        <f t="shared" si="13"/>
        <v>381.31009459199993</v>
      </c>
      <c r="Q47" s="49">
        <f t="shared" si="13"/>
        <v>458.11870230419987</v>
      </c>
      <c r="S47" s="32" t="s">
        <v>196</v>
      </c>
      <c r="T47" s="128">
        <f>(IS!D32/T43)</f>
        <v>8.8793203770510878E-2</v>
      </c>
      <c r="U47" s="128">
        <f>(IS!E32/U43)</f>
        <v>9.3152440978527942E-2</v>
      </c>
      <c r="V47" s="128">
        <f>(IS!F32/V43)</f>
        <v>7.2552447552447552E-2</v>
      </c>
      <c r="W47" s="128">
        <f>(IS!G32/W43)</f>
        <v>7.0015220700152203E-2</v>
      </c>
      <c r="X47" s="128">
        <f>(IS!H32/X43)</f>
        <v>8.2690960056061663E-2</v>
      </c>
      <c r="Y47" s="129">
        <f>(IS!I32/Y43)</f>
        <v>9.3533487297921478E-2</v>
      </c>
    </row>
    <row r="48" spans="2:30" x14ac:dyDescent="0.2">
      <c r="B48" t="s">
        <v>200</v>
      </c>
      <c r="G48" s="50"/>
      <c r="H48" s="50"/>
      <c r="I48" s="50"/>
      <c r="J48" s="50"/>
      <c r="K48" s="50"/>
      <c r="L48" s="50"/>
      <c r="M48" s="92">
        <f>CHOOSE($V$8,M64,M65,M66,M67)</f>
        <v>0.09</v>
      </c>
      <c r="N48" s="92">
        <f t="shared" ref="N48:Q48" si="14">CHOOSE($V$8,N64,N65,N66,N67)</f>
        <v>0.09</v>
      </c>
      <c r="O48" s="92">
        <f t="shared" si="14"/>
        <v>0.09</v>
      </c>
      <c r="P48" s="92">
        <f t="shared" si="14"/>
        <v>0.09</v>
      </c>
      <c r="Q48" s="92">
        <f t="shared" si="14"/>
        <v>0.09</v>
      </c>
      <c r="S48" s="32" t="s">
        <v>186</v>
      </c>
      <c r="T48" s="128">
        <f>-1*IS!D14/T42</f>
        <v>0.14458804523424879</v>
      </c>
      <c r="U48" s="128">
        <f>-1*IS!E14/U42</f>
        <v>0.14698815146242439</v>
      </c>
      <c r="V48" s="128">
        <f>-1*IS!F14/V42</f>
        <v>0.12347354138398914</v>
      </c>
      <c r="W48" s="128">
        <f>-1*IS!G14/W42</f>
        <v>0.11657879320445226</v>
      </c>
      <c r="X48" s="128">
        <f>-1*IS!H14/X42</f>
        <v>0.12398484028153763</v>
      </c>
      <c r="Y48" s="129">
        <f>-1*IS!I14/Y42</f>
        <v>0.12946428571428573</v>
      </c>
    </row>
    <row r="49" spans="2:25" x14ac:dyDescent="0.2">
      <c r="B49" t="s">
        <v>201</v>
      </c>
      <c r="G49" s="50"/>
      <c r="H49" s="50"/>
      <c r="I49" s="50"/>
      <c r="J49" s="50"/>
      <c r="K49" s="50"/>
      <c r="L49" s="50"/>
      <c r="M49" s="49">
        <f>M50*M22</f>
        <v>112</v>
      </c>
      <c r="N49" s="49">
        <f t="shared" ref="N49:Q49" si="15">N50*N22</f>
        <v>117.20015999999998</v>
      </c>
      <c r="O49" s="49">
        <f t="shared" si="15"/>
        <v>146.48230799999999</v>
      </c>
      <c r="P49" s="49">
        <f t="shared" si="15"/>
        <v>169.47115315199997</v>
      </c>
      <c r="Q49" s="49">
        <f t="shared" si="15"/>
        <v>203.60831213519995</v>
      </c>
      <c r="S49" s="86" t="s">
        <v>192</v>
      </c>
      <c r="T49" s="130">
        <f>-1*IS!D13/T42</f>
        <v>2.7822653024591634E-2</v>
      </c>
      <c r="U49" s="130">
        <f>IS!E13/U42</f>
        <v>-2.0797083436904465E-2</v>
      </c>
      <c r="V49" s="130">
        <f>IS!F13/V42</f>
        <v>-2.1031207598371779E-2</v>
      </c>
      <c r="W49" s="130">
        <f>IS!G13/W42</f>
        <v>-2.10896309314587E-2</v>
      </c>
      <c r="X49" s="130">
        <f>IS!H13/X42</f>
        <v>-1.6242555495397944E-2</v>
      </c>
      <c r="Y49" s="131">
        <f>IS!I13/Y42</f>
        <v>-1.4285714285714285E-2</v>
      </c>
    </row>
    <row r="50" spans="2:25" x14ac:dyDescent="0.2">
      <c r="B50" t="s">
        <v>200</v>
      </c>
      <c r="G50" s="50"/>
      <c r="H50" s="50"/>
      <c r="I50" s="50"/>
      <c r="J50" s="50"/>
      <c r="K50" s="50"/>
      <c r="L50" s="50"/>
      <c r="M50" s="92">
        <f>CHOOSE($V$9,M71,M72,M73,M74)</f>
        <v>0.04</v>
      </c>
      <c r="N50" s="92">
        <f t="shared" ref="N50:Q50" si="16">CHOOSE($V$9,N71,N72,N73,N74)</f>
        <v>0.04</v>
      </c>
      <c r="O50" s="92">
        <f t="shared" si="16"/>
        <v>0.04</v>
      </c>
      <c r="P50" s="92">
        <f t="shared" si="16"/>
        <v>0.04</v>
      </c>
      <c r="Q50" s="92">
        <f t="shared" si="16"/>
        <v>0.04</v>
      </c>
    </row>
    <row r="51" spans="2:25" x14ac:dyDescent="0.2">
      <c r="B51" t="s">
        <v>199</v>
      </c>
      <c r="G51" s="50"/>
      <c r="H51" s="50"/>
      <c r="I51" s="50"/>
      <c r="J51" s="50"/>
      <c r="K51" s="50"/>
      <c r="L51" s="50"/>
      <c r="M51" s="94">
        <f>CHOOSE($V$10,M79,M80,M81,M82)</f>
        <v>0</v>
      </c>
      <c r="N51" s="94">
        <f t="shared" ref="N51:Q51" si="17">CHOOSE($V$10,N79,N80,N81,N82)</f>
        <v>0</v>
      </c>
      <c r="O51" s="94">
        <f t="shared" si="17"/>
        <v>0</v>
      </c>
      <c r="P51" s="94">
        <f t="shared" si="17"/>
        <v>0</v>
      </c>
      <c r="Q51" s="94">
        <f t="shared" si="17"/>
        <v>0</v>
      </c>
      <c r="S51" s="13" t="s">
        <v>189</v>
      </c>
    </row>
    <row r="52" spans="2:25" ht="17" thickBot="1" x14ac:dyDescent="0.25">
      <c r="B52" s="25" t="s">
        <v>204</v>
      </c>
      <c r="C52" s="25"/>
      <c r="D52" s="25"/>
      <c r="E52" s="25"/>
      <c r="F52" s="25"/>
      <c r="G52" s="50"/>
      <c r="H52" s="50"/>
      <c r="I52" s="50"/>
      <c r="J52" s="50"/>
      <c r="K52" s="50"/>
      <c r="L52" s="50"/>
      <c r="M52" s="80">
        <f>SUM(M45,M47,M49)</f>
        <v>2324</v>
      </c>
      <c r="N52" s="80">
        <f>SUM(N45,N47,N49)</f>
        <v>2402.6032799999994</v>
      </c>
      <c r="O52" s="80">
        <f>SUM(O45,O47,O49)</f>
        <v>2966.2667369999999</v>
      </c>
      <c r="P52" s="80">
        <f>SUM(P45,P47,P49)</f>
        <v>3431.7908513279999</v>
      </c>
      <c r="Q52" s="80">
        <f>SUM(Q45,Q47,Q49)</f>
        <v>4123.0683207377997</v>
      </c>
      <c r="S52" t="s">
        <v>180</v>
      </c>
    </row>
    <row r="53" spans="2:25" x14ac:dyDescent="0.2">
      <c r="B53" s="13" t="s">
        <v>205</v>
      </c>
      <c r="C53" s="13"/>
      <c r="D53" s="13"/>
      <c r="E53" s="13"/>
      <c r="F53" s="13"/>
      <c r="G53" s="81"/>
      <c r="H53" s="81"/>
      <c r="I53" s="81"/>
      <c r="J53" s="81"/>
      <c r="K53" s="81"/>
      <c r="L53" s="81"/>
      <c r="M53" s="82">
        <f>SUM(M46, M48,M50)</f>
        <v>0.83</v>
      </c>
      <c r="N53" s="82">
        <f>SUM(N46, N48,N50)</f>
        <v>0.82</v>
      </c>
      <c r="O53" s="82">
        <f>SUM(O46, O48,O50)</f>
        <v>0.81</v>
      </c>
      <c r="P53" s="82">
        <f>SUM(P46, P48,P50)</f>
        <v>0.81</v>
      </c>
      <c r="Q53" s="82">
        <f>SUM(Q46, Q48,Q50)</f>
        <v>0.81</v>
      </c>
      <c r="S53" t="s">
        <v>172</v>
      </c>
    </row>
    <row r="54" spans="2:25" x14ac:dyDescent="0.2">
      <c r="S54" t="s">
        <v>181</v>
      </c>
    </row>
    <row r="55" spans="2:25" x14ac:dyDescent="0.2">
      <c r="B55" s="13" t="s">
        <v>158</v>
      </c>
    </row>
    <row r="56" spans="2:25" x14ac:dyDescent="0.2">
      <c r="B56" t="s">
        <v>185</v>
      </c>
      <c r="G56" s="68">
        <f>('IS Neu'!D13*-1)/'IS Neu'!D12</f>
        <v>0.77122599174295448</v>
      </c>
      <c r="H56" s="68">
        <f>('IS Neu'!E13*-1)/'IS Neu'!E12</f>
        <v>0.77562349821857646</v>
      </c>
      <c r="I56" s="68">
        <f>('IS Neu'!F13*-1)/'IS Neu'!F12</f>
        <v>0.77611940298507465</v>
      </c>
      <c r="J56" s="68">
        <f>('IS Neu'!G13*-1)/'IS Neu'!G12</f>
        <v>0.76977152899824253</v>
      </c>
      <c r="K56" s="68">
        <f>('IS Neu'!H13*-1)/'IS Neu'!H12</f>
        <v>0.77260422306442877</v>
      </c>
      <c r="L56" s="68">
        <f>('IS Neu'!I13*-1)/'IS Neu'!I12</f>
        <v>0.77321428571428574</v>
      </c>
      <c r="M56" s="68">
        <f>('IS Neu'!J13*-1)/'IS Neu'!J12</f>
        <v>0.7</v>
      </c>
      <c r="N56" s="68">
        <f>('IS Neu'!K13*-1)/'IS Neu'!K12</f>
        <v>0.69</v>
      </c>
      <c r="O56" s="68">
        <f>('IS Neu'!L13*-1)/'IS Neu'!L12</f>
        <v>0.68</v>
      </c>
      <c r="P56" s="68">
        <f>('IS Neu'!M13*-1)/'IS Neu'!M12</f>
        <v>0.68</v>
      </c>
      <c r="Q56" s="68">
        <f>('IS Neu'!N13*-1)/'IS Neu'!N12</f>
        <v>0.68</v>
      </c>
      <c r="S56" s="13" t="s">
        <v>190</v>
      </c>
    </row>
    <row r="57" spans="2:25" x14ac:dyDescent="0.2">
      <c r="B57" t="s">
        <v>135</v>
      </c>
      <c r="G57" s="50"/>
      <c r="H57" s="50"/>
      <c r="I57" s="50"/>
      <c r="J57" s="50"/>
      <c r="K57" s="50"/>
      <c r="L57" s="50"/>
      <c r="M57" s="77">
        <v>0.74</v>
      </c>
      <c r="N57" s="77">
        <v>0.74</v>
      </c>
      <c r="O57" s="77">
        <v>0.74</v>
      </c>
      <c r="P57" s="77">
        <v>0.74</v>
      </c>
      <c r="Q57" s="77">
        <v>0.74</v>
      </c>
      <c r="S57" t="s">
        <v>191</v>
      </c>
    </row>
    <row r="58" spans="2:25" x14ac:dyDescent="0.2">
      <c r="B58" t="s">
        <v>136</v>
      </c>
      <c r="G58" s="50"/>
      <c r="H58" s="50"/>
      <c r="I58" s="50"/>
      <c r="J58" s="50"/>
      <c r="K58" s="50"/>
      <c r="L58" s="50"/>
      <c r="M58" s="77">
        <v>0.72</v>
      </c>
      <c r="N58" s="77">
        <v>0.72</v>
      </c>
      <c r="O58" s="77">
        <v>0.72</v>
      </c>
      <c r="P58" s="77">
        <v>0.72</v>
      </c>
      <c r="Q58" s="77">
        <v>0.72</v>
      </c>
      <c r="S58" t="s">
        <v>186</v>
      </c>
    </row>
    <row r="59" spans="2:25" x14ac:dyDescent="0.2">
      <c r="B59" t="s">
        <v>137</v>
      </c>
      <c r="G59" s="50"/>
      <c r="H59" s="50"/>
      <c r="I59" s="50"/>
      <c r="J59" s="50"/>
      <c r="K59" s="50"/>
      <c r="L59" s="50"/>
      <c r="M59" s="77">
        <v>0.7</v>
      </c>
      <c r="N59" s="77">
        <v>0.7</v>
      </c>
      <c r="O59" s="77">
        <v>0.7</v>
      </c>
      <c r="P59" s="77">
        <v>0.7</v>
      </c>
      <c r="Q59" s="77">
        <v>0.7</v>
      </c>
      <c r="S59" t="s">
        <v>192</v>
      </c>
    </row>
    <row r="60" spans="2:25" x14ac:dyDescent="0.2">
      <c r="B60" t="s">
        <v>138</v>
      </c>
      <c r="G60" s="50"/>
      <c r="H60" s="50"/>
      <c r="I60" s="50"/>
      <c r="J60" s="50"/>
      <c r="K60" s="50"/>
      <c r="L60" s="50"/>
      <c r="M60" s="77">
        <v>0.7</v>
      </c>
      <c r="N60" s="77">
        <v>0.69</v>
      </c>
      <c r="O60" s="77">
        <v>0.68</v>
      </c>
      <c r="P60" s="77">
        <v>0.68</v>
      </c>
      <c r="Q60" s="77">
        <v>0.68</v>
      </c>
      <c r="S60" t="s">
        <v>746</v>
      </c>
    </row>
    <row r="61" spans="2:25" x14ac:dyDescent="0.2">
      <c r="M61" s="68"/>
      <c r="N61" s="68"/>
      <c r="O61" s="68"/>
      <c r="P61" s="68"/>
      <c r="Q61" s="68"/>
    </row>
    <row r="62" spans="2:25" x14ac:dyDescent="0.2">
      <c r="B62" s="13" t="s">
        <v>186</v>
      </c>
      <c r="M62" s="68"/>
      <c r="N62" s="68"/>
      <c r="O62" s="68"/>
      <c r="P62" s="68"/>
      <c r="Q62" s="68"/>
    </row>
    <row r="63" spans="2:25" x14ac:dyDescent="0.2">
      <c r="B63" t="s">
        <v>185</v>
      </c>
    </row>
    <row r="64" spans="2:25" x14ac:dyDescent="0.2">
      <c r="B64" t="s">
        <v>135</v>
      </c>
      <c r="G64" s="50"/>
      <c r="H64" s="50"/>
      <c r="I64" s="50"/>
      <c r="J64" s="50"/>
      <c r="K64" s="50"/>
      <c r="L64" s="50"/>
      <c r="M64" s="77">
        <v>0.11</v>
      </c>
      <c r="N64" s="77">
        <v>0.11</v>
      </c>
      <c r="O64" s="77">
        <v>0.11</v>
      </c>
      <c r="P64" s="77">
        <v>0.11</v>
      </c>
      <c r="Q64" s="77">
        <v>0.11</v>
      </c>
    </row>
    <row r="65" spans="2:17" x14ac:dyDescent="0.2">
      <c r="B65" t="s">
        <v>136</v>
      </c>
      <c r="G65" s="50"/>
      <c r="H65" s="50"/>
      <c r="I65" s="50"/>
      <c r="J65" s="50"/>
      <c r="K65" s="50"/>
      <c r="L65" s="50"/>
      <c r="M65" s="77">
        <v>0.1</v>
      </c>
      <c r="N65" s="77">
        <v>0.1</v>
      </c>
      <c r="O65" s="77">
        <v>0.1</v>
      </c>
      <c r="P65" s="77">
        <v>0.1</v>
      </c>
      <c r="Q65" s="77">
        <v>0.1</v>
      </c>
    </row>
    <row r="66" spans="2:17" x14ac:dyDescent="0.2">
      <c r="B66" t="s">
        <v>137</v>
      </c>
      <c r="G66" s="50"/>
      <c r="H66" s="50"/>
      <c r="I66" s="50"/>
      <c r="J66" s="50"/>
      <c r="K66" s="50"/>
      <c r="L66" s="50"/>
      <c r="M66" s="77">
        <v>0.09</v>
      </c>
      <c r="N66" s="77">
        <v>0.09</v>
      </c>
      <c r="O66" s="77">
        <v>0.09</v>
      </c>
      <c r="P66" s="77">
        <v>0.09</v>
      </c>
      <c r="Q66" s="77">
        <v>0.09</v>
      </c>
    </row>
    <row r="67" spans="2:17" x14ac:dyDescent="0.2">
      <c r="B67" t="s">
        <v>138</v>
      </c>
      <c r="G67" s="50"/>
      <c r="H67" s="50"/>
      <c r="I67" s="50"/>
      <c r="J67" s="50"/>
      <c r="K67" s="50"/>
      <c r="L67" s="50"/>
      <c r="M67" s="79">
        <v>0.1</v>
      </c>
      <c r="N67" s="79">
        <v>9.5000000000000001E-2</v>
      </c>
      <c r="O67" s="79">
        <f>N67-0.5%</f>
        <v>0.09</v>
      </c>
      <c r="P67" s="79">
        <v>0.09</v>
      </c>
      <c r="Q67" s="79">
        <v>0.09</v>
      </c>
    </row>
    <row r="68" spans="2:17" x14ac:dyDescent="0.2">
      <c r="M68" s="68"/>
      <c r="N68" s="68"/>
      <c r="O68" s="68"/>
      <c r="P68" s="68"/>
      <c r="Q68" s="68"/>
    </row>
    <row r="69" spans="2:17" x14ac:dyDescent="0.2">
      <c r="B69" s="13" t="s">
        <v>187</v>
      </c>
      <c r="M69" s="68"/>
      <c r="N69" s="68"/>
      <c r="O69" s="68"/>
      <c r="P69" s="68"/>
      <c r="Q69" s="68"/>
    </row>
    <row r="70" spans="2:17" x14ac:dyDescent="0.2">
      <c r="B70" t="s">
        <v>185</v>
      </c>
    </row>
    <row r="71" spans="2:17" x14ac:dyDescent="0.2">
      <c r="B71" t="s">
        <v>135</v>
      </c>
      <c r="G71" s="50"/>
      <c r="H71" s="50"/>
      <c r="I71" s="50"/>
      <c r="J71" s="50"/>
      <c r="K71" s="50"/>
      <c r="L71" s="50"/>
      <c r="M71" s="77">
        <v>0.03</v>
      </c>
      <c r="N71" s="77">
        <v>0.03</v>
      </c>
      <c r="O71" s="77">
        <v>0.03</v>
      </c>
      <c r="P71" s="77">
        <v>0.03</v>
      </c>
      <c r="Q71" s="77">
        <v>0.03</v>
      </c>
    </row>
    <row r="72" spans="2:17" x14ac:dyDescent="0.2">
      <c r="B72" t="s">
        <v>136</v>
      </c>
      <c r="G72" s="50"/>
      <c r="H72" s="50"/>
      <c r="I72" s="50"/>
      <c r="J72" s="50"/>
      <c r="K72" s="50"/>
      <c r="L72" s="50"/>
      <c r="M72" s="79">
        <v>3.5000000000000003E-2</v>
      </c>
      <c r="N72" s="79">
        <v>3.5000000000000003E-2</v>
      </c>
      <c r="O72" s="79">
        <v>3.5000000000000003E-2</v>
      </c>
      <c r="P72" s="79">
        <v>3.5000000000000003E-2</v>
      </c>
      <c r="Q72" s="79">
        <v>3.5000000000000003E-2</v>
      </c>
    </row>
    <row r="73" spans="2:17" x14ac:dyDescent="0.2">
      <c r="B73" t="s">
        <v>137</v>
      </c>
      <c r="G73" s="50"/>
      <c r="H73" s="50"/>
      <c r="I73" s="50"/>
      <c r="J73" s="50"/>
      <c r="K73" s="50"/>
      <c r="L73" s="50"/>
      <c r="M73" s="77">
        <v>0.04</v>
      </c>
      <c r="N73" s="77">
        <v>0.04</v>
      </c>
      <c r="O73" s="77">
        <v>0.04</v>
      </c>
      <c r="P73" s="77">
        <v>0.04</v>
      </c>
      <c r="Q73" s="77">
        <v>0.04</v>
      </c>
    </row>
    <row r="74" spans="2:17" x14ac:dyDescent="0.2">
      <c r="B74" t="s">
        <v>138</v>
      </c>
      <c r="G74" s="50"/>
      <c r="H74" s="50"/>
      <c r="I74" s="50"/>
      <c r="J74" s="50"/>
      <c r="K74" s="50"/>
      <c r="L74" s="50"/>
      <c r="M74" s="79">
        <v>0.05</v>
      </c>
      <c r="N74" s="79">
        <v>0.05</v>
      </c>
      <c r="O74" s="79">
        <v>0.05</v>
      </c>
      <c r="P74" s="79">
        <v>0.05</v>
      </c>
      <c r="Q74" s="79">
        <v>0.05</v>
      </c>
    </row>
    <row r="76" spans="2:17" x14ac:dyDescent="0.2">
      <c r="B76" t="s">
        <v>741</v>
      </c>
      <c r="M76" s="175">
        <f>SUM(M46,M48,M50)</f>
        <v>0.83</v>
      </c>
      <c r="N76" s="175">
        <f t="shared" ref="N76:P76" si="18">SUM(N46,N48,N50)</f>
        <v>0.82</v>
      </c>
      <c r="O76" s="175">
        <f t="shared" si="18"/>
        <v>0.81</v>
      </c>
      <c r="P76" s="175">
        <f t="shared" si="18"/>
        <v>0.81</v>
      </c>
      <c r="Q76" s="175">
        <f>SUM(Q46,Q48,Q50)</f>
        <v>0.81</v>
      </c>
    </row>
    <row r="78" spans="2:17" x14ac:dyDescent="0.2">
      <c r="B78" s="13" t="s">
        <v>188</v>
      </c>
    </row>
    <row r="79" spans="2:17" x14ac:dyDescent="0.2">
      <c r="B79" t="s">
        <v>135</v>
      </c>
      <c r="G79" s="50">
        <f>IS!D18</f>
        <v>-2.5999999999999996</v>
      </c>
      <c r="H79" s="50">
        <f>IS!E18</f>
        <v>-9.8000000000000025</v>
      </c>
      <c r="I79" s="50">
        <f>IS!F18</f>
        <v>6</v>
      </c>
      <c r="J79" s="50">
        <f>IS!G18</f>
        <v>7</v>
      </c>
      <c r="K79" s="50">
        <f>IS!H18</f>
        <v>-1</v>
      </c>
      <c r="L79" s="50">
        <f>IS!I18</f>
        <v>-1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</row>
    <row r="80" spans="2:17" x14ac:dyDescent="0.2">
      <c r="B80" t="s">
        <v>136</v>
      </c>
      <c r="G80" s="50"/>
      <c r="H80" s="50"/>
      <c r="I80" s="50"/>
      <c r="J80" s="50"/>
      <c r="K80" s="50"/>
      <c r="L80" s="50"/>
      <c r="M80" s="49">
        <v>0</v>
      </c>
      <c r="N80" s="49">
        <v>0</v>
      </c>
      <c r="O80" s="49">
        <v>0</v>
      </c>
      <c r="P80" s="49">
        <v>0</v>
      </c>
      <c r="Q80" s="49">
        <v>0</v>
      </c>
    </row>
    <row r="81" spans="2:17" x14ac:dyDescent="0.2">
      <c r="B81" t="s">
        <v>137</v>
      </c>
      <c r="G81" s="50"/>
      <c r="H81" s="50"/>
      <c r="I81" s="50"/>
      <c r="J81" s="50"/>
      <c r="K81" s="50"/>
      <c r="L81" s="50"/>
      <c r="M81" s="49">
        <v>0</v>
      </c>
      <c r="N81" s="49">
        <v>0</v>
      </c>
      <c r="O81" s="49">
        <v>0</v>
      </c>
      <c r="P81" s="49">
        <v>0</v>
      </c>
      <c r="Q81" s="49">
        <v>0</v>
      </c>
    </row>
    <row r="82" spans="2:17" x14ac:dyDescent="0.2">
      <c r="B82" t="s">
        <v>138</v>
      </c>
      <c r="G82" s="50"/>
      <c r="H82" s="50"/>
      <c r="I82" s="50"/>
      <c r="J82" s="50"/>
      <c r="K82" s="50"/>
      <c r="L82" s="50"/>
      <c r="M82" s="49">
        <v>0</v>
      </c>
      <c r="N82" s="49">
        <v>0</v>
      </c>
      <c r="O82" s="49">
        <v>0</v>
      </c>
      <c r="P82" s="49">
        <v>0</v>
      </c>
      <c r="Q82" s="49">
        <v>0</v>
      </c>
    </row>
    <row r="86" spans="2:17" x14ac:dyDescent="0.2">
      <c r="M86" s="16"/>
      <c r="N86" s="16"/>
      <c r="O86" s="16"/>
      <c r="P86" s="16"/>
      <c r="Q86" s="16"/>
    </row>
    <row r="87" spans="2:17" x14ac:dyDescent="0.2">
      <c r="M87" s="16"/>
    </row>
  </sheetData>
  <dataValidations count="1">
    <dataValidation type="list" allowBlank="1" showInputMessage="1" showErrorMessage="1" sqref="V4:V10" xr:uid="{F38D2DA8-34A0-F14A-AD48-B605ABE624BF}">
      <formula1>"1, 2, 3, 4, 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A074-6BFA-D448-A2B9-1121879BECBE}">
  <dimension ref="A1:AG114"/>
  <sheetViews>
    <sheetView showGridLines="0" topLeftCell="A4" zoomScale="75" zoomScaleNormal="80" workbookViewId="0">
      <selection activeCell="M74" sqref="M74"/>
    </sheetView>
  </sheetViews>
  <sheetFormatPr baseColWidth="10" defaultRowHeight="16" x14ac:dyDescent="0.2"/>
  <cols>
    <col min="3" max="3" width="17" customWidth="1"/>
    <col min="8" max="17" width="11.5" bestFit="1" customWidth="1"/>
    <col min="18" max="18" width="6.6640625" customWidth="1"/>
    <col min="19" max="19" width="14.6640625" customWidth="1"/>
    <col min="21" max="21" width="5.6640625" customWidth="1"/>
  </cols>
  <sheetData>
    <row r="1" spans="1:22" ht="25" thickBot="1" x14ac:dyDescent="0.35">
      <c r="A1" s="10" t="str">
        <f>_xlfn.CONCAT(Inputs!C7, " - ", "Fixed Assets", " - ", "in ", Inputs!C9, " ", Inputs!C10)</f>
        <v>HAG - Fixed Assets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7" thickTop="1" x14ac:dyDescent="0.2">
      <c r="V2" t="s">
        <v>299</v>
      </c>
    </row>
    <row r="4" spans="1:22" x14ac:dyDescent="0.2">
      <c r="B4" t="s">
        <v>9</v>
      </c>
      <c r="D4" s="7"/>
      <c r="E4" s="7"/>
      <c r="F4" s="7"/>
      <c r="G4" s="9">
        <f>EDATE(Inputs!$C$8, G5*12)</f>
        <v>43830</v>
      </c>
      <c r="H4" s="9">
        <f>EDATE(Inputs!$C$8, H5*12)</f>
        <v>44196</v>
      </c>
      <c r="I4" s="9">
        <f>EDATE(Inputs!$C$8, I5*12)</f>
        <v>44561</v>
      </c>
      <c r="J4" s="9">
        <f>EDATE(Inputs!$C$8, J5*12)</f>
        <v>44926</v>
      </c>
      <c r="K4" s="9">
        <f>EDATE(Inputs!$C$8, K5*12)</f>
        <v>45291</v>
      </c>
      <c r="L4" s="9">
        <f>EDATE(Inputs!$C$8, L5*12)</f>
        <v>45657</v>
      </c>
      <c r="M4" s="9">
        <f>EDATE(Inputs!$C$8, M5*12)</f>
        <v>46022</v>
      </c>
      <c r="N4" s="9">
        <f>EDATE(Inputs!$C$8, N5*12)</f>
        <v>46387</v>
      </c>
      <c r="O4" s="9">
        <f>EDATE(Inputs!$C$8, O5*12)</f>
        <v>46752</v>
      </c>
      <c r="P4" s="9">
        <f>EDATE(Inputs!$C$8, P5*12)</f>
        <v>47118</v>
      </c>
      <c r="Q4" s="9">
        <f>EDATE(Inputs!$C$8, Q5*12)</f>
        <v>47483</v>
      </c>
      <c r="S4" s="13" t="s">
        <v>356</v>
      </c>
      <c r="V4" s="62">
        <f>Inputs!R7</f>
        <v>3</v>
      </c>
    </row>
    <row r="5" spans="1:22" x14ac:dyDescent="0.2">
      <c r="B5" t="s">
        <v>10</v>
      </c>
      <c r="D5" s="8"/>
      <c r="E5" s="8"/>
      <c r="F5" s="8"/>
      <c r="G5" s="8">
        <v>-5</v>
      </c>
      <c r="H5" s="8">
        <v>-4</v>
      </c>
      <c r="I5" s="8">
        <v>-3</v>
      </c>
      <c r="J5" s="8">
        <v>-2</v>
      </c>
      <c r="K5" s="8">
        <v>-1</v>
      </c>
      <c r="L5" s="8">
        <v>0</v>
      </c>
      <c r="M5" s="8">
        <v>1</v>
      </c>
      <c r="N5" s="8">
        <v>2</v>
      </c>
      <c r="O5" s="8">
        <v>3</v>
      </c>
      <c r="P5" s="8">
        <v>4</v>
      </c>
      <c r="Q5" s="8">
        <v>5</v>
      </c>
      <c r="S5" s="13" t="s">
        <v>357</v>
      </c>
      <c r="V5" s="62">
        <f>Inputs!R8</f>
        <v>3</v>
      </c>
    </row>
    <row r="6" spans="1:22" x14ac:dyDescent="0.2">
      <c r="B6" t="s">
        <v>11</v>
      </c>
      <c r="D6" s="8"/>
      <c r="E6" s="8"/>
      <c r="F6" s="8"/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O6" s="8" t="str">
        <f>_xlfn.CONCAT(Inputs!$C$9, " ", Inputs!$C$10)</f>
        <v>Euro millions</v>
      </c>
      <c r="P6" s="8" t="str">
        <f>_xlfn.CONCAT(Inputs!$C$9, " ", Inputs!$C$10)</f>
        <v>Euro millions</v>
      </c>
      <c r="Q6" s="8" t="str">
        <f>_xlfn.CONCAT(Inputs!$C$9, " ", Inputs!$C$10)</f>
        <v>Euro millions</v>
      </c>
      <c r="S6" s="13" t="s">
        <v>358</v>
      </c>
      <c r="V6" s="62">
        <f>Inputs!R9</f>
        <v>3</v>
      </c>
    </row>
    <row r="7" spans="1:22" x14ac:dyDescent="0.2">
      <c r="B7" t="s">
        <v>12</v>
      </c>
      <c r="D7" s="8"/>
      <c r="E7" s="8"/>
      <c r="F7" s="8"/>
      <c r="G7" s="8" t="str">
        <f>IF(G5&lt;=0, "Historical", "Forecasted")</f>
        <v>Historical</v>
      </c>
      <c r="H7" s="8" t="str">
        <f>IF(H5&lt;=0, "Historical", "Forecasted")</f>
        <v>Historical</v>
      </c>
      <c r="I7" s="8" t="str">
        <f t="shared" ref="I7:Q7" si="0">IF(I5&lt;=0, "Historical", "Forecasted")</f>
        <v>Historical</v>
      </c>
      <c r="J7" s="8" t="str">
        <f t="shared" si="0"/>
        <v>Historical</v>
      </c>
      <c r="K7" s="8" t="str">
        <f t="shared" si="0"/>
        <v>Historical</v>
      </c>
      <c r="L7" s="8" t="str">
        <f t="shared" si="0"/>
        <v>Historical</v>
      </c>
      <c r="M7" s="8" t="str">
        <f t="shared" si="0"/>
        <v>Forecasted</v>
      </c>
      <c r="N7" s="8" t="str">
        <f t="shared" si="0"/>
        <v>Forecasted</v>
      </c>
      <c r="O7" s="8" t="str">
        <f t="shared" si="0"/>
        <v>Forecasted</v>
      </c>
      <c r="P7" s="8" t="str">
        <f t="shared" si="0"/>
        <v>Forecasted</v>
      </c>
      <c r="Q7" s="8" t="str">
        <f t="shared" si="0"/>
        <v>Forecasted</v>
      </c>
    </row>
    <row r="9" spans="1:22" x14ac:dyDescent="0.2">
      <c r="B9" s="13" t="s">
        <v>479</v>
      </c>
      <c r="E9" s="62">
        <v>1</v>
      </c>
      <c r="K9" s="39" t="s">
        <v>243</v>
      </c>
      <c r="L9" s="14"/>
      <c r="M9" s="19">
        <f>'Revenue &amp; Expenses (updated)'!M22</f>
        <v>2800</v>
      </c>
      <c r="N9" s="19">
        <f>'Revenue &amp; Expenses (updated)'!N22</f>
        <v>2930.0039999999995</v>
      </c>
      <c r="O9" s="19">
        <f>'Revenue &amp; Expenses (updated)'!O22</f>
        <v>3662.0576999999998</v>
      </c>
      <c r="P9" s="19">
        <f>'Revenue &amp; Expenses (updated)'!P22</f>
        <v>4236.7788287999992</v>
      </c>
      <c r="Q9" s="100">
        <f>'Revenue &amp; Expenses (updated)'!Q22</f>
        <v>5090.2078033799989</v>
      </c>
    </row>
    <row r="10" spans="1:22" x14ac:dyDescent="0.2">
      <c r="S10" s="13" t="s">
        <v>448</v>
      </c>
    </row>
    <row r="11" spans="1:22" x14ac:dyDescent="0.2">
      <c r="B11" s="13" t="s">
        <v>41</v>
      </c>
      <c r="S11" t="s">
        <v>449</v>
      </c>
    </row>
    <row r="12" spans="1:22" x14ac:dyDescent="0.2">
      <c r="B12" t="s">
        <v>212</v>
      </c>
      <c r="G12" s="73">
        <v>126</v>
      </c>
      <c r="H12" s="73">
        <v>151</v>
      </c>
      <c r="I12" s="73">
        <v>180</v>
      </c>
      <c r="J12" s="73">
        <v>208</v>
      </c>
      <c r="K12" s="73">
        <v>282</v>
      </c>
      <c r="L12" s="73">
        <v>370</v>
      </c>
      <c r="M12" s="106">
        <f>L17</f>
        <v>448.35</v>
      </c>
      <c r="N12" s="106">
        <f>M17</f>
        <v>539.62475000000006</v>
      </c>
      <c r="O12" s="106">
        <f>N17</f>
        <v>634.08051875000001</v>
      </c>
      <c r="P12" s="106">
        <f>O17</f>
        <v>752.74133046874999</v>
      </c>
      <c r="Q12" s="106">
        <f>P17</f>
        <v>889.73746951971873</v>
      </c>
      <c r="S12" t="s">
        <v>450</v>
      </c>
    </row>
    <row r="13" spans="1:22" x14ac:dyDescent="0.2">
      <c r="B13" t="s">
        <v>213</v>
      </c>
      <c r="E13" s="109">
        <f>T20</f>
        <v>0.27</v>
      </c>
      <c r="G13" s="99">
        <v>21</v>
      </c>
      <c r="H13" s="99">
        <v>31</v>
      </c>
      <c r="I13" s="99">
        <v>30</v>
      </c>
      <c r="J13" s="99">
        <v>36</v>
      </c>
      <c r="K13" s="99">
        <v>46</v>
      </c>
      <c r="L13" s="99">
        <v>83</v>
      </c>
      <c r="M13" s="106">
        <f>M14*M9</f>
        <v>97.999999999999986</v>
      </c>
      <c r="N13" s="106">
        <f>N14*N9</f>
        <v>102.55013999999997</v>
      </c>
      <c r="O13" s="106">
        <f>O14*O9</f>
        <v>128.17201949999998</v>
      </c>
      <c r="P13" s="106">
        <f>P14*P9</f>
        <v>148.28725900799995</v>
      </c>
      <c r="Q13" s="106">
        <f>Q14*Q9</f>
        <v>178.15727311829994</v>
      </c>
      <c r="S13" t="s">
        <v>451</v>
      </c>
    </row>
    <row r="14" spans="1:22" x14ac:dyDescent="0.2">
      <c r="B14" t="s">
        <v>200</v>
      </c>
      <c r="G14" s="223">
        <f>G13/G12</f>
        <v>0.16666666666666666</v>
      </c>
      <c r="H14" s="223">
        <f t="shared" ref="H14:K14" si="1">H13/H12</f>
        <v>0.20529801324503311</v>
      </c>
      <c r="I14" s="223">
        <f t="shared" si="1"/>
        <v>0.16666666666666666</v>
      </c>
      <c r="J14" s="223">
        <f t="shared" si="1"/>
        <v>0.17307692307692307</v>
      </c>
      <c r="K14" s="223">
        <f t="shared" si="1"/>
        <v>0.16312056737588654</v>
      </c>
      <c r="L14" s="104">
        <v>0.35</v>
      </c>
      <c r="M14" s="105">
        <f>CHOOSE($E$9,M60,M61,M62,M63)*$L$14</f>
        <v>3.4999999999999996E-2</v>
      </c>
      <c r="N14" s="105">
        <f>CHOOSE($E$9,N60,N61,N62,N63)*$L$14</f>
        <v>3.4999999999999996E-2</v>
      </c>
      <c r="O14" s="105">
        <f>CHOOSE($E$9,O60,O61,O62,O63)*$L$14</f>
        <v>3.4999999999999996E-2</v>
      </c>
      <c r="P14" s="105">
        <f>CHOOSE($E$9,P60,P61,P62,P63)*$L$14</f>
        <v>3.4999999999999996E-2</v>
      </c>
      <c r="Q14" s="105">
        <f>CHOOSE($E$9,Q60,Q61,Q62,Q63)*$L$14</f>
        <v>3.4999999999999996E-2</v>
      </c>
    </row>
    <row r="15" spans="1:22" x14ac:dyDescent="0.2">
      <c r="B15" t="s">
        <v>214</v>
      </c>
      <c r="G15" s="99">
        <v>-1</v>
      </c>
      <c r="H15" s="99">
        <v>-3</v>
      </c>
      <c r="I15" s="99">
        <v>-4</v>
      </c>
      <c r="J15" s="99">
        <v>-2</v>
      </c>
      <c r="K15" s="99">
        <v>-3</v>
      </c>
      <c r="L15" s="99">
        <v>-5</v>
      </c>
      <c r="M15" s="108">
        <f>(-1)*M16*M12</f>
        <v>-6.72525</v>
      </c>
      <c r="N15" s="108">
        <f>(-1)*N16*N12</f>
        <v>-8.09437125</v>
      </c>
      <c r="O15" s="108">
        <f>(-1)*O16*O12</f>
        <v>-9.5112077812500004</v>
      </c>
      <c r="P15" s="108">
        <f>(-1)*P16*P12</f>
        <v>-11.291119957031249</v>
      </c>
      <c r="Q15" s="108">
        <f>(-1)*Q16*Q12</f>
        <v>-13.346062042795781</v>
      </c>
    </row>
    <row r="16" spans="1:22" x14ac:dyDescent="0.2">
      <c r="B16" t="s">
        <v>200</v>
      </c>
      <c r="G16" s="99"/>
      <c r="H16" s="99"/>
      <c r="I16" s="99"/>
      <c r="J16" s="99"/>
      <c r="K16" s="99"/>
      <c r="L16" s="99"/>
      <c r="M16" s="105">
        <f>CHOOSE($E$9,M78,M79,M80,M81)</f>
        <v>1.4999999999999999E-2</v>
      </c>
      <c r="N16" s="105">
        <f>CHOOSE($E$9,N78,N79,N80,N81)</f>
        <v>1.4999999999999999E-2</v>
      </c>
      <c r="O16" s="105">
        <f>CHOOSE($E$9,O78,O79,O80,O81)</f>
        <v>1.4999999999999999E-2</v>
      </c>
      <c r="P16" s="105">
        <f>CHOOSE($E$9,P78,P79,P80,P81)</f>
        <v>1.4999999999999999E-2</v>
      </c>
      <c r="Q16" s="105">
        <f>CHOOSE($E$9,Q78,Q79,Q80,Q81)</f>
        <v>1.4999999999999999E-2</v>
      </c>
    </row>
    <row r="17" spans="2:33" ht="17" thickBot="1" x14ac:dyDescent="0.25">
      <c r="B17" s="25" t="s">
        <v>215</v>
      </c>
      <c r="C17" s="26"/>
      <c r="D17" s="26"/>
      <c r="E17" s="26"/>
      <c r="F17" s="26"/>
      <c r="G17" s="28">
        <f t="shared" ref="G17:L17" si="2">SUM(G12:G15)</f>
        <v>146.16666666666666</v>
      </c>
      <c r="H17" s="28">
        <f t="shared" si="2"/>
        <v>179.20529801324503</v>
      </c>
      <c r="I17" s="28">
        <f t="shared" si="2"/>
        <v>206.16666666666666</v>
      </c>
      <c r="J17" s="28">
        <f t="shared" si="2"/>
        <v>242.17307692307693</v>
      </c>
      <c r="K17" s="28">
        <f t="shared" si="2"/>
        <v>325.16312056737587</v>
      </c>
      <c r="L17" s="28">
        <f t="shared" si="2"/>
        <v>448.35</v>
      </c>
      <c r="M17" s="28">
        <f>SUM(M12,M13,M15)</f>
        <v>539.62475000000006</v>
      </c>
      <c r="N17" s="28">
        <f>SUM(N12,N13,N15)</f>
        <v>634.08051875000001</v>
      </c>
      <c r="O17" s="28">
        <f>SUM(O12,O13,O15)</f>
        <v>752.74133046874999</v>
      </c>
      <c r="P17" s="28">
        <f>SUM(P12,P13,P15)</f>
        <v>889.73746951971873</v>
      </c>
      <c r="Q17" s="28">
        <f>SUM(Q12,Q13,Q15)</f>
        <v>1054.5486805952228</v>
      </c>
    </row>
    <row r="18" spans="2:33" x14ac:dyDescent="0.2">
      <c r="B18" s="13"/>
    </row>
    <row r="19" spans="2:33" x14ac:dyDescent="0.2">
      <c r="B19" s="13" t="s">
        <v>221</v>
      </c>
      <c r="G19" s="68"/>
      <c r="H19" s="68"/>
      <c r="I19" s="68"/>
      <c r="J19" s="68"/>
      <c r="K19" s="68"/>
      <c r="L19" s="68"/>
      <c r="S19" s="83" t="s">
        <v>237</v>
      </c>
      <c r="T19" s="84"/>
      <c r="U19" s="84"/>
      <c r="V19" s="45" t="s">
        <v>240</v>
      </c>
      <c r="W19" s="85"/>
    </row>
    <row r="20" spans="2:33" x14ac:dyDescent="0.2">
      <c r="B20" t="s">
        <v>216</v>
      </c>
      <c r="G20" s="99">
        <v>-37</v>
      </c>
      <c r="H20" s="99">
        <v>-58</v>
      </c>
      <c r="I20" s="99">
        <v>-77</v>
      </c>
      <c r="J20" s="99">
        <v>-100</v>
      </c>
      <c r="K20" s="99">
        <v>-120</v>
      </c>
      <c r="L20" s="99">
        <v>-142</v>
      </c>
      <c r="M20" s="106">
        <f>L24</f>
        <v>-167</v>
      </c>
      <c r="N20" s="106">
        <f ca="1">M24</f>
        <v>-219.22789418028989</v>
      </c>
      <c r="O20" s="106">
        <f ca="1">N24</f>
        <v>-273.27344851983577</v>
      </c>
      <c r="P20" s="106">
        <f ca="1">O24</f>
        <v>-330.93370048717128</v>
      </c>
      <c r="Q20" s="106">
        <f ca="1">P24</f>
        <v>-393.3668319240727</v>
      </c>
      <c r="S20" s="32" t="s">
        <v>41</v>
      </c>
      <c r="T20" s="295">
        <v>0.27</v>
      </c>
      <c r="V20" t="s">
        <v>41</v>
      </c>
      <c r="W20" s="97">
        <v>0.21</v>
      </c>
    </row>
    <row r="21" spans="2:33" x14ac:dyDescent="0.2">
      <c r="B21" t="s">
        <v>217</v>
      </c>
      <c r="E21" s="109">
        <f>W20</f>
        <v>0.21</v>
      </c>
      <c r="G21" s="99">
        <v>-21</v>
      </c>
      <c r="H21" s="99">
        <v>-22</v>
      </c>
      <c r="I21" s="99">
        <v>-23</v>
      </c>
      <c r="J21" s="99">
        <v>-22</v>
      </c>
      <c r="K21" s="99">
        <v>-25</v>
      </c>
      <c r="L21" s="99">
        <v>-28</v>
      </c>
      <c r="M21" s="106">
        <f ca="1">CHOOSE($V$5,M69,M70,M71,M72)*M68*$E$21*-1</f>
        <v>-55.227894180289887</v>
      </c>
      <c r="N21" s="106">
        <f t="shared" ref="N21:Q21" ca="1" si="3">CHOOSE($V$5,N69,N70,N71,N72)*N68*$E$21*-1</f>
        <v>-57.045554339545852</v>
      </c>
      <c r="O21" s="106">
        <f t="shared" ca="1" si="3"/>
        <v>-60.660251967335498</v>
      </c>
      <c r="P21" s="106">
        <f t="shared" ca="1" si="3"/>
        <v>-65.433131436901434</v>
      </c>
      <c r="Q21" s="106">
        <f t="shared" ca="1" si="3"/>
        <v>-72.003710046824267</v>
      </c>
      <c r="S21" s="32" t="s">
        <v>238</v>
      </c>
      <c r="T21" s="96">
        <v>0.4</v>
      </c>
      <c r="V21" t="s">
        <v>238</v>
      </c>
      <c r="W21" s="97">
        <v>0.57999999999999996</v>
      </c>
    </row>
    <row r="22" spans="2:33" x14ac:dyDescent="0.2">
      <c r="B22" s="46" t="s">
        <v>200</v>
      </c>
      <c r="G22" s="223"/>
      <c r="H22" s="223"/>
      <c r="I22" s="223"/>
      <c r="J22" s="223"/>
      <c r="K22" s="223"/>
      <c r="L22" s="223"/>
      <c r="M22" s="309">
        <f>CHOOSE($E$9,M69,M70,M71,M72)*$E$21</f>
        <v>3.15E-2</v>
      </c>
      <c r="N22" s="309">
        <f>CHOOSE($E$9,N69,N70,N71,N72)*$E$21</f>
        <v>3.15E-2</v>
      </c>
      <c r="O22" s="309">
        <f>CHOOSE($E$9,O69,O70,O71,O72)*$E$21</f>
        <v>3.15E-2</v>
      </c>
      <c r="P22" s="309">
        <f>CHOOSE($E$9,P69,P70,P71,P72)*$E$21</f>
        <v>3.15E-2</v>
      </c>
      <c r="Q22" s="309">
        <f>CHOOSE($E$9,Q69,Q70,Q71,Q72)*$E$21</f>
        <v>3.15E-2</v>
      </c>
      <c r="S22" s="86" t="s">
        <v>239</v>
      </c>
      <c r="T22" s="296">
        <v>0.33</v>
      </c>
      <c r="U22" s="22"/>
      <c r="V22" s="22" t="s">
        <v>239</v>
      </c>
      <c r="W22" s="98">
        <v>0.22</v>
      </c>
    </row>
    <row r="23" spans="2:33" x14ac:dyDescent="0.2">
      <c r="B23" t="s">
        <v>218</v>
      </c>
      <c r="G23" s="99">
        <v>1</v>
      </c>
      <c r="H23" s="99">
        <v>2</v>
      </c>
      <c r="I23" s="99">
        <v>2</v>
      </c>
      <c r="J23" s="99">
        <v>2</v>
      </c>
      <c r="K23" s="99">
        <v>2</v>
      </c>
      <c r="L23" s="99">
        <v>3</v>
      </c>
      <c r="M23" s="111">
        <f>L23</f>
        <v>3</v>
      </c>
      <c r="N23" s="111">
        <f>M23</f>
        <v>3</v>
      </c>
      <c r="O23" s="111">
        <f>N23</f>
        <v>3</v>
      </c>
      <c r="P23" s="111">
        <f>O23</f>
        <v>3</v>
      </c>
      <c r="Q23" s="111">
        <f>P23</f>
        <v>3</v>
      </c>
    </row>
    <row r="24" spans="2:33" x14ac:dyDescent="0.2">
      <c r="B24" s="13" t="s">
        <v>219</v>
      </c>
      <c r="G24" s="50">
        <f t="shared" ref="G24:L24" si="4">SUM(G20:G23)</f>
        <v>-57</v>
      </c>
      <c r="H24" s="50">
        <f t="shared" si="4"/>
        <v>-78</v>
      </c>
      <c r="I24" s="50">
        <f t="shared" si="4"/>
        <v>-98</v>
      </c>
      <c r="J24" s="50">
        <f t="shared" si="4"/>
        <v>-120</v>
      </c>
      <c r="K24" s="50">
        <f t="shared" si="4"/>
        <v>-143</v>
      </c>
      <c r="L24" s="50">
        <f t="shared" si="4"/>
        <v>-167</v>
      </c>
      <c r="M24" s="106">
        <f ca="1">SUM(M20,M21,M23)</f>
        <v>-219.22789418028989</v>
      </c>
      <c r="N24" s="106">
        <f ca="1">SUM(N20,N21,N23)</f>
        <v>-273.27344851983577</v>
      </c>
      <c r="O24" s="106">
        <f ca="1">SUM(O20,O21,O23)</f>
        <v>-330.93370048717128</v>
      </c>
      <c r="P24" s="106">
        <f ca="1">SUM(P20,P21,P23)</f>
        <v>-393.3668319240727</v>
      </c>
      <c r="Q24" s="106">
        <f ca="1">SUM(Q20,Q21,Q23)</f>
        <v>-462.37054197089697</v>
      </c>
      <c r="X24" s="16"/>
      <c r="Y24" s="16"/>
    </row>
    <row r="25" spans="2:33" ht="17" thickBot="1" x14ac:dyDescent="0.25">
      <c r="B25" s="25" t="s">
        <v>220</v>
      </c>
      <c r="C25" s="26"/>
      <c r="D25" s="26"/>
      <c r="E25" s="26"/>
      <c r="F25" s="26"/>
      <c r="G25" s="28">
        <f t="shared" ref="G25:L25" si="5">SUM(G17,G24)</f>
        <v>89.166666666666657</v>
      </c>
      <c r="H25" s="28">
        <f t="shared" si="5"/>
        <v>101.20529801324503</v>
      </c>
      <c r="I25" s="28">
        <f t="shared" si="5"/>
        <v>108.16666666666666</v>
      </c>
      <c r="J25" s="28">
        <f t="shared" si="5"/>
        <v>122.17307692307693</v>
      </c>
      <c r="K25" s="28">
        <f t="shared" si="5"/>
        <v>182.16312056737587</v>
      </c>
      <c r="L25" s="28">
        <f t="shared" si="5"/>
        <v>281.35000000000002</v>
      </c>
      <c r="M25" s="28">
        <f ca="1">SUM(M17,M24)</f>
        <v>320.39685581971014</v>
      </c>
      <c r="N25" s="28">
        <f ca="1">SUM(N17,N24)</f>
        <v>360.80707023016424</v>
      </c>
      <c r="O25" s="28">
        <f ca="1">SUM(O17,O24)</f>
        <v>421.80762998157871</v>
      </c>
      <c r="P25" s="28">
        <f ca="1">SUM(P17,P24)</f>
        <v>496.37063759564603</v>
      </c>
      <c r="Q25" s="28">
        <f ca="1">SUM(Q17,Q24)</f>
        <v>592.17813862432581</v>
      </c>
      <c r="X25" s="16"/>
      <c r="Y25" s="16"/>
    </row>
    <row r="26" spans="2:33" x14ac:dyDescent="0.2">
      <c r="G26" s="68">
        <f>-G21/G25</f>
        <v>0.23551401869158881</v>
      </c>
      <c r="H26" s="68">
        <f t="shared" ref="H26:L26" si="6">-H21/H25</f>
        <v>0.21737992409370502</v>
      </c>
      <c r="I26" s="68">
        <f t="shared" si="6"/>
        <v>0.21263482280431434</v>
      </c>
      <c r="J26" s="68">
        <f t="shared" si="6"/>
        <v>0.18007240673697464</v>
      </c>
      <c r="K26" s="68">
        <f t="shared" si="6"/>
        <v>0.13723963402764261</v>
      </c>
      <c r="L26" s="68">
        <f t="shared" si="6"/>
        <v>9.952017060600675E-2</v>
      </c>
      <c r="X26" s="16"/>
      <c r="Y26" s="16"/>
    </row>
    <row r="27" spans="2:33" x14ac:dyDescent="0.2">
      <c r="B27" s="13" t="s">
        <v>244</v>
      </c>
      <c r="S27" s="378" t="s">
        <v>761</v>
      </c>
      <c r="T27" s="84"/>
      <c r="U27" s="84"/>
      <c r="V27" s="84"/>
      <c r="W27" s="84"/>
      <c r="X27" s="166"/>
      <c r="Y27" s="166"/>
      <c r="Z27" s="84"/>
      <c r="AA27" s="84"/>
      <c r="AB27" s="84"/>
      <c r="AC27" s="84"/>
      <c r="AD27" s="84"/>
      <c r="AE27" s="84"/>
      <c r="AF27" s="84"/>
      <c r="AG27" s="85"/>
    </row>
    <row r="28" spans="2:33" x14ac:dyDescent="0.2">
      <c r="B28" s="46" t="s">
        <v>222</v>
      </c>
      <c r="G28" s="99">
        <v>403</v>
      </c>
      <c r="H28" s="99">
        <v>386</v>
      </c>
      <c r="I28" s="99">
        <v>385</v>
      </c>
      <c r="J28" s="99">
        <v>385</v>
      </c>
      <c r="K28" s="99">
        <v>399</v>
      </c>
      <c r="L28" s="99">
        <v>667</v>
      </c>
      <c r="M28" s="106">
        <f>L34</f>
        <v>673.17091454272861</v>
      </c>
      <c r="N28" s="106">
        <f>M34</f>
        <v>651.64928019490253</v>
      </c>
      <c r="O28" s="106">
        <f ca="1">N34</f>
        <v>631.75528826838763</v>
      </c>
      <c r="P28" s="106">
        <f ca="1">O34</f>
        <v>641.9796696924991</v>
      </c>
      <c r="Q28" s="106">
        <f ca="1">P34</f>
        <v>669.80721470797243</v>
      </c>
      <c r="S28" s="170" t="s">
        <v>247</v>
      </c>
      <c r="X28" s="16"/>
      <c r="Y28" s="16"/>
      <c r="AG28" s="208"/>
    </row>
    <row r="29" spans="2:33" x14ac:dyDescent="0.2">
      <c r="B29" s="46" t="s">
        <v>242</v>
      </c>
      <c r="E29" s="109">
        <f>T21</f>
        <v>0.4</v>
      </c>
      <c r="G29" s="99">
        <v>59</v>
      </c>
      <c r="H29" s="99">
        <v>66</v>
      </c>
      <c r="I29" s="99">
        <v>66</v>
      </c>
      <c r="J29" s="99">
        <v>60</v>
      </c>
      <c r="K29" s="99">
        <v>69</v>
      </c>
      <c r="L29" s="99">
        <v>114</v>
      </c>
      <c r="M29" s="106">
        <f>$E$29*M65</f>
        <v>134.4</v>
      </c>
      <c r="N29" s="106">
        <f>$E$29*N65</f>
        <v>140.64019199999998</v>
      </c>
      <c r="O29" s="106">
        <f>$E$29*O65</f>
        <v>175.7787696</v>
      </c>
      <c r="P29" s="106">
        <f>$E$29*P65</f>
        <v>203.36538378239996</v>
      </c>
      <c r="Q29" s="106">
        <f>$E$29*Q65</f>
        <v>244.32997456223995</v>
      </c>
      <c r="S29" s="170" t="s">
        <v>343</v>
      </c>
      <c r="T29" s="16"/>
      <c r="U29" s="16"/>
      <c r="V29" s="16"/>
      <c r="W29" s="16"/>
      <c r="X29" s="16"/>
      <c r="AG29" s="208"/>
    </row>
    <row r="30" spans="2:33" x14ac:dyDescent="0.2">
      <c r="B30" s="46" t="s">
        <v>200</v>
      </c>
      <c r="G30" s="223">
        <f>G29/G28</f>
        <v>0.14640198511166252</v>
      </c>
      <c r="H30" s="223">
        <f t="shared" ref="H30:L30" si="7">H29/H28</f>
        <v>0.17098445595854922</v>
      </c>
      <c r="I30" s="223">
        <f t="shared" si="7"/>
        <v>0.17142857142857143</v>
      </c>
      <c r="J30" s="223">
        <f t="shared" si="7"/>
        <v>0.15584415584415584</v>
      </c>
      <c r="K30" s="223">
        <f t="shared" si="7"/>
        <v>0.17293233082706766</v>
      </c>
      <c r="L30" s="223">
        <f t="shared" si="7"/>
        <v>0.17091454272863568</v>
      </c>
      <c r="M30" s="105">
        <f>CHOOSE($E$9,M60,M61,M62,M63)*$E$29</f>
        <v>4.0000000000000008E-2</v>
      </c>
      <c r="N30" s="105">
        <f>CHOOSE($E$9,N60,N61,N62,N63)*$E$29</f>
        <v>4.0000000000000008E-2</v>
      </c>
      <c r="O30" s="105">
        <f>CHOOSE($E$9,O60,O61,O62,O63)*$E$29</f>
        <v>4.0000000000000008E-2</v>
      </c>
      <c r="P30" s="105">
        <f>CHOOSE($E$9,P60,P61,P62,P63)*$E$29</f>
        <v>4.0000000000000008E-2</v>
      </c>
      <c r="Q30" s="105">
        <f>CHOOSE($E$9,Q60,Q61,Q62,Q63)*$E$29</f>
        <v>4.0000000000000008E-2</v>
      </c>
      <c r="S30" s="170"/>
      <c r="AG30" s="208"/>
    </row>
    <row r="31" spans="2:33" x14ac:dyDescent="0.2">
      <c r="B31" s="46" t="s">
        <v>223</v>
      </c>
      <c r="E31" s="109">
        <f>W21</f>
        <v>0.57999999999999996</v>
      </c>
      <c r="G31" s="99">
        <v>-78</v>
      </c>
      <c r="H31" s="99">
        <v>-80</v>
      </c>
      <c r="I31" s="99">
        <v>-82</v>
      </c>
      <c r="J31" s="99">
        <v>-59</v>
      </c>
      <c r="K31" s="99">
        <v>-61</v>
      </c>
      <c r="L31" s="99">
        <v>-91</v>
      </c>
      <c r="M31" s="106">
        <f>$E$31*M74</f>
        <v>147.92163434782606</v>
      </c>
      <c r="N31" s="106">
        <f ca="1">$E$31*N74</f>
        <v>152.53418392651491</v>
      </c>
      <c r="O31" s="106">
        <f ca="1">$E$31*O74</f>
        <v>157.55438817588853</v>
      </c>
      <c r="P31" s="106">
        <f ca="1">$E$31*P74</f>
        <v>167.5378387669266</v>
      </c>
      <c r="Q31" s="106">
        <f ca="1">$E$31*Q74</f>
        <v>180.72007730191825</v>
      </c>
      <c r="S31" s="290" t="s">
        <v>447</v>
      </c>
      <c r="AG31" s="208"/>
    </row>
    <row r="32" spans="2:33" x14ac:dyDescent="0.2">
      <c r="B32" s="46" t="s">
        <v>200</v>
      </c>
      <c r="G32" s="99"/>
      <c r="H32" s="99"/>
      <c r="I32" s="99"/>
      <c r="J32" s="99"/>
      <c r="K32" s="99"/>
      <c r="L32" s="99"/>
      <c r="M32" s="77">
        <f>CHOOSE($V$6,M78,M79,M80,M81)*$E$31</f>
        <v>2.8999999999999998E-3</v>
      </c>
      <c r="N32" s="77">
        <f t="shared" ref="N32:Q32" si="8">CHOOSE($V$6,N78,N79,N80,N81)*$E$31</f>
        <v>2.8999999999999998E-3</v>
      </c>
      <c r="O32" s="77">
        <f t="shared" si="8"/>
        <v>2.8999999999999998E-3</v>
      </c>
      <c r="P32" s="77">
        <f t="shared" si="8"/>
        <v>2.8999999999999998E-3</v>
      </c>
      <c r="Q32" s="77">
        <f t="shared" si="8"/>
        <v>2.8999999999999998E-3</v>
      </c>
      <c r="S32" s="170" t="s">
        <v>748</v>
      </c>
      <c r="AG32" s="208"/>
    </row>
    <row r="33" spans="2:33" x14ac:dyDescent="0.2">
      <c r="B33" s="46" t="s">
        <v>224</v>
      </c>
      <c r="G33" s="99">
        <v>0</v>
      </c>
      <c r="H33" s="99">
        <v>-13</v>
      </c>
      <c r="I33" s="99">
        <v>0</v>
      </c>
      <c r="J33" s="99">
        <v>-1</v>
      </c>
      <c r="K33" s="99">
        <v>-8</v>
      </c>
      <c r="L33" s="99">
        <v>-17</v>
      </c>
      <c r="M33" s="112">
        <v>-8</v>
      </c>
      <c r="N33" s="112">
        <v>-8</v>
      </c>
      <c r="O33" s="112">
        <v>-8</v>
      </c>
      <c r="P33" s="112">
        <v>-8</v>
      </c>
      <c r="Q33" s="112">
        <v>-8</v>
      </c>
      <c r="S33" s="170" t="s">
        <v>749</v>
      </c>
      <c r="AG33" s="208"/>
    </row>
    <row r="34" spans="2:33" ht="17" thickBot="1" x14ac:dyDescent="0.25">
      <c r="B34" s="25" t="s">
        <v>225</v>
      </c>
      <c r="C34" s="26"/>
      <c r="D34" s="26"/>
      <c r="E34" s="26"/>
      <c r="F34" s="26"/>
      <c r="G34" s="28">
        <f t="shared" ref="G34:L34" si="9">SUM(G28:G33)</f>
        <v>384.14640198511165</v>
      </c>
      <c r="H34" s="28">
        <f t="shared" si="9"/>
        <v>359.17098445595855</v>
      </c>
      <c r="I34" s="28">
        <f t="shared" si="9"/>
        <v>369.17142857142858</v>
      </c>
      <c r="J34" s="28">
        <f t="shared" si="9"/>
        <v>385.15584415584414</v>
      </c>
      <c r="K34" s="28">
        <f t="shared" si="9"/>
        <v>399.17293233082705</v>
      </c>
      <c r="L34" s="28">
        <f t="shared" si="9"/>
        <v>673.17091454272861</v>
      </c>
      <c r="M34" s="28">
        <f>SUM(M28, M29, -M31, M33)</f>
        <v>651.64928019490253</v>
      </c>
      <c r="N34" s="28">
        <f ca="1">SUM(N28, N29, -N31, N33)</f>
        <v>631.75528826838763</v>
      </c>
      <c r="O34" s="28">
        <f ca="1">SUM(O28, O29, -O31, O33)</f>
        <v>641.9796696924991</v>
      </c>
      <c r="P34" s="28">
        <f ca="1">SUM(P28, P29, -P31, P33)</f>
        <v>669.80721470797243</v>
      </c>
      <c r="Q34" s="28">
        <f ca="1">SUM(Q28, Q29, -Q31, Q33)</f>
        <v>725.41711196829419</v>
      </c>
      <c r="S34" s="170" t="s">
        <v>747</v>
      </c>
      <c r="AG34" s="208"/>
    </row>
    <row r="35" spans="2:33" x14ac:dyDescent="0.2">
      <c r="B35" s="13"/>
      <c r="G35" s="13"/>
      <c r="H35" s="13"/>
      <c r="I35" s="13"/>
      <c r="J35" s="13"/>
      <c r="K35" s="13"/>
      <c r="L35" s="13"/>
      <c r="M35" s="20"/>
      <c r="N35" s="20"/>
      <c r="O35" s="20"/>
      <c r="P35" s="20"/>
      <c r="Q35" s="20"/>
      <c r="S35" s="170"/>
      <c r="AG35" s="208"/>
    </row>
    <row r="36" spans="2:33" x14ac:dyDescent="0.2">
      <c r="B36" s="13" t="s">
        <v>354</v>
      </c>
      <c r="G36" s="13"/>
      <c r="H36" s="13"/>
      <c r="I36" s="13"/>
      <c r="J36" s="13"/>
      <c r="K36" s="13"/>
      <c r="L36" s="13"/>
      <c r="M36" s="20">
        <f>M29</f>
        <v>134.4</v>
      </c>
      <c r="N36" s="20">
        <f t="shared" ref="N36:Q36" si="10">N29</f>
        <v>140.64019199999998</v>
      </c>
      <c r="O36" s="20">
        <f t="shared" si="10"/>
        <v>175.7787696</v>
      </c>
      <c r="P36" s="20">
        <f t="shared" si="10"/>
        <v>203.36538378239996</v>
      </c>
      <c r="Q36" s="20">
        <f t="shared" si="10"/>
        <v>244.32997456223995</v>
      </c>
      <c r="S36" s="170" t="s">
        <v>750</v>
      </c>
      <c r="AG36" s="208"/>
    </row>
    <row r="37" spans="2:33" x14ac:dyDescent="0.2">
      <c r="B37" s="13" t="s">
        <v>355</v>
      </c>
      <c r="G37" s="13"/>
      <c r="H37" s="13"/>
      <c r="I37" s="13"/>
      <c r="J37" s="13"/>
      <c r="K37" s="13"/>
      <c r="L37" s="13"/>
      <c r="M37" s="20">
        <f>M13+M45</f>
        <v>208.88</v>
      </c>
      <c r="N37" s="20">
        <f t="shared" ref="N37:Q37" si="11">N13+N45</f>
        <v>218.57829839999997</v>
      </c>
      <c r="O37" s="20">
        <f t="shared" si="11"/>
        <v>273.18950441999993</v>
      </c>
      <c r="P37" s="20">
        <f t="shared" si="11"/>
        <v>316.06370062847992</v>
      </c>
      <c r="Q37" s="20">
        <f t="shared" si="11"/>
        <v>379.7295021321479</v>
      </c>
      <c r="S37" s="170" t="s">
        <v>751</v>
      </c>
      <c r="AG37" s="208"/>
    </row>
    <row r="38" spans="2:33" x14ac:dyDescent="0.2">
      <c r="B38" s="13"/>
      <c r="G38" s="13"/>
      <c r="H38" s="13"/>
      <c r="I38" s="13"/>
      <c r="J38" s="13"/>
      <c r="K38" s="13"/>
      <c r="L38" s="13"/>
      <c r="M38" s="20"/>
      <c r="N38" s="20"/>
      <c r="O38" s="20"/>
      <c r="P38" s="20"/>
      <c r="Q38" s="20"/>
      <c r="S38" s="170"/>
      <c r="AG38" s="208"/>
    </row>
    <row r="39" spans="2:33" x14ac:dyDescent="0.2">
      <c r="B39" s="13"/>
      <c r="S39" s="290" t="s">
        <v>752</v>
      </c>
      <c r="AG39" s="208"/>
    </row>
    <row r="40" spans="2:33" x14ac:dyDescent="0.2">
      <c r="B40" s="13" t="s">
        <v>226</v>
      </c>
      <c r="G40" s="99">
        <v>647</v>
      </c>
      <c r="H40" s="99">
        <v>627</v>
      </c>
      <c r="I40" s="99">
        <v>651</v>
      </c>
      <c r="J40" s="99">
        <v>658</v>
      </c>
      <c r="K40" s="99">
        <v>658</v>
      </c>
      <c r="L40" s="99">
        <v>1115</v>
      </c>
      <c r="M40" s="114">
        <f>L40</f>
        <v>1115</v>
      </c>
      <c r="N40" s="114">
        <f t="shared" ref="N40:Q40" si="12">M40</f>
        <v>1115</v>
      </c>
      <c r="O40" s="114">
        <f t="shared" si="12"/>
        <v>1115</v>
      </c>
      <c r="P40" s="114">
        <f t="shared" si="12"/>
        <v>1115</v>
      </c>
      <c r="Q40" s="114">
        <f t="shared" si="12"/>
        <v>1115</v>
      </c>
      <c r="S40" s="170" t="s">
        <v>753</v>
      </c>
      <c r="AG40" s="208"/>
    </row>
    <row r="41" spans="2:33" ht="17" thickBot="1" x14ac:dyDescent="0.25">
      <c r="B41" s="25" t="s">
        <v>250</v>
      </c>
      <c r="C41" s="26"/>
      <c r="D41" s="26"/>
      <c r="E41" s="26"/>
      <c r="F41" s="26"/>
      <c r="G41" s="360">
        <f>G34+G40</f>
        <v>1031.1464019851117</v>
      </c>
      <c r="H41" s="360">
        <f t="shared" ref="H41:L41" si="13">H34+H40</f>
        <v>986.17098445595855</v>
      </c>
      <c r="I41" s="360">
        <f t="shared" si="13"/>
        <v>1020.1714285714286</v>
      </c>
      <c r="J41" s="360">
        <f t="shared" si="13"/>
        <v>1043.1558441558441</v>
      </c>
      <c r="K41" s="360">
        <f t="shared" si="13"/>
        <v>1057.1729323308271</v>
      </c>
      <c r="L41" s="360">
        <f t="shared" si="13"/>
        <v>1788.1709145427285</v>
      </c>
      <c r="M41" s="28">
        <f>SUM(M34,M40)</f>
        <v>1766.6492801949025</v>
      </c>
      <c r="N41" s="28">
        <f ca="1">SUM(N34,N40)</f>
        <v>1746.7552882683876</v>
      </c>
      <c r="O41" s="28">
        <f ca="1">SUM(O34,O40)</f>
        <v>1756.9796696924991</v>
      </c>
      <c r="P41" s="28">
        <f t="shared" ref="P41:Q41" ca="1" si="14">SUM(P34,P40)</f>
        <v>1784.8072147079724</v>
      </c>
      <c r="Q41" s="28">
        <f t="shared" ca="1" si="14"/>
        <v>1840.4171119682942</v>
      </c>
      <c r="S41" s="170" t="s">
        <v>754</v>
      </c>
      <c r="AG41" s="208"/>
    </row>
    <row r="42" spans="2:33" x14ac:dyDescent="0.2">
      <c r="B42" s="13"/>
      <c r="M42" s="16"/>
      <c r="N42" s="16"/>
      <c r="O42" s="16"/>
      <c r="P42" s="16"/>
      <c r="Q42" s="16"/>
      <c r="S42" s="170" t="s">
        <v>755</v>
      </c>
      <c r="AG42" s="208"/>
    </row>
    <row r="43" spans="2:33" x14ac:dyDescent="0.2">
      <c r="B43" s="13" t="s">
        <v>227</v>
      </c>
      <c r="S43" s="170" t="s">
        <v>756</v>
      </c>
      <c r="AG43" s="208"/>
    </row>
    <row r="44" spans="2:33" x14ac:dyDescent="0.2">
      <c r="B44" s="46" t="s">
        <v>228</v>
      </c>
      <c r="G44" s="99">
        <v>147</v>
      </c>
      <c r="H44" s="99">
        <v>155</v>
      </c>
      <c r="I44" s="99">
        <v>144</v>
      </c>
      <c r="J44" s="99">
        <v>141</v>
      </c>
      <c r="K44" s="99">
        <v>189</v>
      </c>
      <c r="L44" s="73">
        <v>249</v>
      </c>
      <c r="M44" s="95">
        <f>L49</f>
        <v>249</v>
      </c>
      <c r="N44" s="95">
        <f>M49</f>
        <v>303.77179386806597</v>
      </c>
      <c r="O44" s="95">
        <f ca="1">N49</f>
        <v>361.94215836490514</v>
      </c>
      <c r="P44" s="95">
        <f ca="1">O49</f>
        <v>447.19763397680947</v>
      </c>
      <c r="Q44" s="95">
        <f ca="1">P49</f>
        <v>551.42524020293797</v>
      </c>
      <c r="S44" s="170"/>
      <c r="AG44" s="208"/>
    </row>
    <row r="45" spans="2:33" x14ac:dyDescent="0.2">
      <c r="B45" s="46" t="s">
        <v>229</v>
      </c>
      <c r="E45" s="109">
        <f>T22</f>
        <v>0.33</v>
      </c>
      <c r="G45" s="99">
        <v>21</v>
      </c>
      <c r="H45" s="99">
        <v>10</v>
      </c>
      <c r="I45" s="99">
        <v>16</v>
      </c>
      <c r="J45" s="99">
        <v>73</v>
      </c>
      <c r="K45" s="99">
        <v>95</v>
      </c>
      <c r="L45" s="99">
        <v>22</v>
      </c>
      <c r="M45" s="106">
        <f>$E$45*M65</f>
        <v>110.88000000000001</v>
      </c>
      <c r="N45" s="106">
        <f>$E$45*N65</f>
        <v>116.0281584</v>
      </c>
      <c r="O45" s="106">
        <f>$E$45*O65</f>
        <v>145.01748491999999</v>
      </c>
      <c r="P45" s="106">
        <f>$E$45*P65</f>
        <v>167.77644162047997</v>
      </c>
      <c r="Q45" s="106">
        <f>$E$45*Q65</f>
        <v>201.57222901384796</v>
      </c>
      <c r="S45" s="170"/>
      <c r="AG45" s="208"/>
    </row>
    <row r="46" spans="2:33" x14ac:dyDescent="0.2">
      <c r="B46" s="46" t="s">
        <v>200</v>
      </c>
      <c r="G46" s="99"/>
      <c r="H46" s="99"/>
      <c r="I46" s="99"/>
      <c r="J46" s="99"/>
      <c r="K46" s="99"/>
      <c r="L46" s="99"/>
      <c r="M46" s="105">
        <f>CHOOSE($E$9,M69,M70,M71,M72)*$E$45</f>
        <v>4.9500000000000002E-2</v>
      </c>
      <c r="N46" s="105">
        <f>CHOOSE($E$9,N69,N70,N71,N72)*$E$45</f>
        <v>4.9500000000000002E-2</v>
      </c>
      <c r="O46" s="105">
        <f>CHOOSE($E$9,O69,O70,O71,O72)*$E$45</f>
        <v>4.9500000000000002E-2</v>
      </c>
      <c r="P46" s="105">
        <f>CHOOSE($E$9,P69,P70,P71,P72)*$E$45</f>
        <v>4.9500000000000002E-2</v>
      </c>
      <c r="Q46" s="105">
        <f>CHOOSE($E$9,Q69,Q70,Q71,Q72)*$E$45</f>
        <v>4.9500000000000002E-2</v>
      </c>
      <c r="S46" s="290" t="s">
        <v>356</v>
      </c>
      <c r="AG46" s="208"/>
    </row>
    <row r="47" spans="2:33" x14ac:dyDescent="0.2">
      <c r="B47" s="46" t="s">
        <v>230</v>
      </c>
      <c r="E47" s="109">
        <f>W22</f>
        <v>0.22</v>
      </c>
      <c r="G47" s="99">
        <v>-17</v>
      </c>
      <c r="H47" s="99">
        <v>-19</v>
      </c>
      <c r="I47" s="99">
        <v>-21</v>
      </c>
      <c r="J47" s="99">
        <v>-23</v>
      </c>
      <c r="K47" s="99">
        <v>-33</v>
      </c>
      <c r="L47" s="99">
        <v>-22</v>
      </c>
      <c r="M47" s="108">
        <f>$E$47*M74</f>
        <v>56.108206131934033</v>
      </c>
      <c r="N47" s="108">
        <f ca="1">$E$47*N74</f>
        <v>57.857793903160832</v>
      </c>
      <c r="O47" s="108">
        <f ca="1">$E$47*O74</f>
        <v>59.762009308095656</v>
      </c>
      <c r="P47" s="108">
        <f ca="1">$E$47*P74</f>
        <v>63.548835394351478</v>
      </c>
      <c r="Q47" s="108">
        <f t="shared" ref="Q47" ca="1" si="15">$E$47*Q74</f>
        <v>68.548994838658658</v>
      </c>
      <c r="S47" s="170" t="s">
        <v>757</v>
      </c>
      <c r="AG47" s="208"/>
    </row>
    <row r="48" spans="2:33" x14ac:dyDescent="0.2">
      <c r="B48" s="46" t="s">
        <v>200</v>
      </c>
      <c r="E48" s="84"/>
      <c r="G48" s="99"/>
      <c r="H48" s="99"/>
      <c r="I48" s="99"/>
      <c r="J48" s="99"/>
      <c r="K48" s="99"/>
      <c r="L48" s="99"/>
      <c r="M48" s="105">
        <f>CHOOSE($E$9,M69,M70,M71,M72)*$E$47</f>
        <v>3.3000000000000002E-2</v>
      </c>
      <c r="N48" s="105">
        <f>CHOOSE($E$9,N69,N70,N71,N72)*$E$47</f>
        <v>3.3000000000000002E-2</v>
      </c>
      <c r="O48" s="105">
        <f>CHOOSE($E$9,O69,O70,O71,O72)*$E$47</f>
        <v>3.3000000000000002E-2</v>
      </c>
      <c r="P48" s="105">
        <f>CHOOSE($E$9,P69,P70,P71,P72)*$E$47</f>
        <v>3.3000000000000002E-2</v>
      </c>
      <c r="Q48" s="105">
        <f>CHOOSE($E$9,Q69,Q70,Q71,Q72)*$E$47</f>
        <v>3.3000000000000002E-2</v>
      </c>
      <c r="S48" s="170" t="s">
        <v>758</v>
      </c>
      <c r="AG48" s="208"/>
    </row>
    <row r="49" spans="2:33" ht="17" thickBot="1" x14ac:dyDescent="0.25">
      <c r="B49" s="25" t="s">
        <v>231</v>
      </c>
      <c r="C49" s="26"/>
      <c r="D49" s="26" t="s">
        <v>251</v>
      </c>
      <c r="E49" s="26"/>
      <c r="F49" s="115"/>
      <c r="G49" s="25">
        <f t="shared" ref="G49:L49" si="16">SUM(G44:G47)</f>
        <v>151</v>
      </c>
      <c r="H49" s="25">
        <f t="shared" si="16"/>
        <v>146</v>
      </c>
      <c r="I49" s="25">
        <f t="shared" si="16"/>
        <v>139</v>
      </c>
      <c r="J49" s="25">
        <f t="shared" si="16"/>
        <v>191</v>
      </c>
      <c r="K49" s="25">
        <f t="shared" si="16"/>
        <v>251</v>
      </c>
      <c r="L49" s="25">
        <f t="shared" si="16"/>
        <v>249</v>
      </c>
      <c r="M49" s="28">
        <f>SUM(M44,M45,-M47)+$F$49</f>
        <v>303.77179386806597</v>
      </c>
      <c r="N49" s="28">
        <f ca="1">SUM(N44,N45,-N47)+$F$49</f>
        <v>361.94215836490514</v>
      </c>
      <c r="O49" s="28">
        <f ca="1">SUM(O44,O45,-O47)+$F$49</f>
        <v>447.19763397680947</v>
      </c>
      <c r="P49" s="28">
        <f ca="1">SUM(P44,P45,-P47)+$F$49</f>
        <v>551.42524020293797</v>
      </c>
      <c r="Q49" s="28">
        <f ca="1">SUM(Q44,Q45,-Q47)+$F$49</f>
        <v>684.44847437812723</v>
      </c>
      <c r="S49" s="170" t="s">
        <v>759</v>
      </c>
      <c r="AG49" s="208"/>
    </row>
    <row r="50" spans="2:33" x14ac:dyDescent="0.2">
      <c r="S50" s="170"/>
      <c r="AG50" s="208"/>
    </row>
    <row r="51" spans="2:33" x14ac:dyDescent="0.2">
      <c r="B51" s="13" t="s">
        <v>353</v>
      </c>
      <c r="M51" s="43">
        <f ca="1">SUM(M49,M25)</f>
        <v>624.16864968777611</v>
      </c>
      <c r="N51" s="19">
        <f t="shared" ref="N51:Q51" ca="1" si="17">SUM(N49,N25)</f>
        <v>722.74922859506933</v>
      </c>
      <c r="O51" s="19">
        <f t="shared" ca="1" si="17"/>
        <v>869.00526395838824</v>
      </c>
      <c r="P51" s="19">
        <f t="shared" ca="1" si="17"/>
        <v>1047.7958777985841</v>
      </c>
      <c r="Q51" s="100">
        <f t="shared" ca="1" si="17"/>
        <v>1276.626613002453</v>
      </c>
      <c r="S51" s="86" t="s">
        <v>760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09"/>
    </row>
    <row r="53" spans="2:33" ht="17" thickBot="1" x14ac:dyDescent="0.25">
      <c r="B53" s="25" t="s">
        <v>232</v>
      </c>
      <c r="C53" s="26"/>
      <c r="D53" s="26"/>
      <c r="E53" s="26"/>
      <c r="F53" s="26"/>
      <c r="G53" s="28">
        <f>SUM(G49,G34,G40,G25)</f>
        <v>1271.3130686517784</v>
      </c>
      <c r="H53" s="28">
        <f t="shared" ref="H53:Q53" si="18">SUM(H49,H34,H40,H25)</f>
        <v>1233.3762824692037</v>
      </c>
      <c r="I53" s="28">
        <f t="shared" si="18"/>
        <v>1267.3380952380953</v>
      </c>
      <c r="J53" s="28">
        <f t="shared" si="18"/>
        <v>1356.328921078921</v>
      </c>
      <c r="K53" s="28">
        <f t="shared" si="18"/>
        <v>1490.336052898203</v>
      </c>
      <c r="L53" s="28">
        <f t="shared" si="18"/>
        <v>2318.5209145427284</v>
      </c>
      <c r="M53" s="28">
        <f ca="1">SUM(M49,M34,M40,M25)</f>
        <v>2390.817929882679</v>
      </c>
      <c r="N53" s="28">
        <f t="shared" ca="1" si="18"/>
        <v>2469.504516863457</v>
      </c>
      <c r="O53" s="28">
        <f t="shared" ca="1" si="18"/>
        <v>2625.9849336508873</v>
      </c>
      <c r="P53" s="28">
        <f t="shared" ca="1" si="18"/>
        <v>2832.6030925065561</v>
      </c>
      <c r="Q53" s="28">
        <f t="shared" ca="1" si="18"/>
        <v>3117.0437249707475</v>
      </c>
    </row>
    <row r="54" spans="2:33" x14ac:dyDescent="0.2">
      <c r="B54" s="13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2:33" x14ac:dyDescent="0.2">
      <c r="B55" s="13" t="s">
        <v>248</v>
      </c>
      <c r="E55" s="109">
        <f>SUM(E45,E29,E13)</f>
        <v>1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2:33" x14ac:dyDescent="0.2">
      <c r="B56" s="13" t="s">
        <v>249</v>
      </c>
      <c r="E56" s="109">
        <f>SUM(E47,E31,E21)</f>
        <v>1.01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8" spans="2:33" x14ac:dyDescent="0.2">
      <c r="B58" s="13" t="s">
        <v>233</v>
      </c>
      <c r="D58" s="96"/>
      <c r="G58">
        <f>G45+G29+G13</f>
        <v>101</v>
      </c>
      <c r="H58">
        <f t="shared" ref="H58:K58" si="19">H45+H29+H13</f>
        <v>107</v>
      </c>
      <c r="I58">
        <f t="shared" si="19"/>
        <v>112</v>
      </c>
      <c r="J58">
        <f t="shared" si="19"/>
        <v>169</v>
      </c>
      <c r="K58">
        <f t="shared" si="19"/>
        <v>210</v>
      </c>
      <c r="L58">
        <f>L45+L29+L13</f>
        <v>219</v>
      </c>
    </row>
    <row r="59" spans="2:33" x14ac:dyDescent="0.2">
      <c r="B59" s="46" t="s">
        <v>234</v>
      </c>
      <c r="G59" s="16">
        <f>'IS Neu'!D12</f>
        <v>1114.2</v>
      </c>
      <c r="H59" s="16">
        <f>'IS Neu'!E12</f>
        <v>1206.9000000000001</v>
      </c>
      <c r="I59" s="16">
        <f>'IS Neu'!F12</f>
        <v>1474</v>
      </c>
      <c r="J59" s="16">
        <f>'IS Neu'!G12</f>
        <v>1707</v>
      </c>
      <c r="K59" s="16">
        <f>'IS Neu'!H12</f>
        <v>1847</v>
      </c>
      <c r="L59" s="16">
        <f>'IS Neu'!I12</f>
        <v>2240</v>
      </c>
    </row>
    <row r="60" spans="2:33" x14ac:dyDescent="0.2">
      <c r="B60" t="s">
        <v>135</v>
      </c>
      <c r="G60" s="69">
        <f t="shared" ref="G60:L60" si="20">G58/G59</f>
        <v>9.0647998563992097E-2</v>
      </c>
      <c r="H60" s="69">
        <f t="shared" si="20"/>
        <v>8.8656889551744125E-2</v>
      </c>
      <c r="I60" s="69">
        <f t="shared" si="20"/>
        <v>7.5983717774762552E-2</v>
      </c>
      <c r="J60" s="69">
        <f t="shared" si="20"/>
        <v>9.9004100761569999E-2</v>
      </c>
      <c r="K60" s="69">
        <f t="shared" si="20"/>
        <v>0.1136978884677856</v>
      </c>
      <c r="L60" s="69">
        <f t="shared" si="20"/>
        <v>9.7767857142857142E-2</v>
      </c>
      <c r="M60" s="101">
        <v>0.1</v>
      </c>
      <c r="N60" s="101">
        <v>0.1</v>
      </c>
      <c r="O60" s="101">
        <v>0.1</v>
      </c>
      <c r="P60" s="101">
        <v>0.1</v>
      </c>
      <c r="Q60" s="101">
        <v>0.1</v>
      </c>
    </row>
    <row r="61" spans="2:33" x14ac:dyDescent="0.2">
      <c r="B61" t="s">
        <v>136</v>
      </c>
      <c r="G61" s="50"/>
      <c r="H61" s="50"/>
      <c r="I61" s="50"/>
      <c r="J61" s="50"/>
      <c r="K61" s="50"/>
      <c r="L61" s="50"/>
      <c r="M61" s="101">
        <v>0.11</v>
      </c>
      <c r="N61" s="101">
        <v>0.11</v>
      </c>
      <c r="O61" s="101">
        <v>0.11</v>
      </c>
      <c r="P61" s="101">
        <v>0.11</v>
      </c>
      <c r="Q61" s="101">
        <v>0.11</v>
      </c>
    </row>
    <row r="62" spans="2:33" x14ac:dyDescent="0.2">
      <c r="B62" t="s">
        <v>137</v>
      </c>
      <c r="G62" s="50"/>
      <c r="H62" s="50"/>
      <c r="I62" s="50"/>
      <c r="J62" s="50"/>
      <c r="K62" s="50"/>
      <c r="L62" s="50"/>
      <c r="M62" s="101">
        <v>0.12</v>
      </c>
      <c r="N62" s="101">
        <v>0.12</v>
      </c>
      <c r="O62" s="101">
        <v>0.12</v>
      </c>
      <c r="P62" s="101">
        <v>0.12</v>
      </c>
      <c r="Q62" s="101">
        <v>0.12</v>
      </c>
    </row>
    <row r="63" spans="2:33" x14ac:dyDescent="0.2">
      <c r="B63" t="s">
        <v>138</v>
      </c>
      <c r="G63" s="50"/>
      <c r="H63" s="50"/>
      <c r="I63" s="50"/>
      <c r="J63" s="50"/>
      <c r="K63" s="50"/>
      <c r="L63" s="50"/>
      <c r="M63" s="101">
        <v>0.15</v>
      </c>
      <c r="N63" s="101">
        <v>0.15</v>
      </c>
      <c r="O63" s="101">
        <v>0.15</v>
      </c>
      <c r="P63" s="101">
        <v>0.15</v>
      </c>
      <c r="Q63" s="101">
        <v>0.15</v>
      </c>
    </row>
    <row r="64" spans="2:33" x14ac:dyDescent="0.2">
      <c r="B64" s="13" t="s">
        <v>359</v>
      </c>
      <c r="G64" s="50"/>
      <c r="H64" s="50"/>
      <c r="I64" s="50"/>
      <c r="J64" s="50"/>
      <c r="K64" s="50"/>
      <c r="L64" s="50"/>
      <c r="M64" s="332">
        <f>CHOOSE($V$4, M60,M61,M62,M63)</f>
        <v>0.12</v>
      </c>
      <c r="N64" s="332">
        <f t="shared" ref="N64:Q64" si="21">CHOOSE($V$4, N60,N61,N62,N63)</f>
        <v>0.12</v>
      </c>
      <c r="O64" s="332">
        <f t="shared" si="21"/>
        <v>0.12</v>
      </c>
      <c r="P64" s="332">
        <f t="shared" si="21"/>
        <v>0.12</v>
      </c>
      <c r="Q64" s="332">
        <f t="shared" si="21"/>
        <v>0.12</v>
      </c>
    </row>
    <row r="65" spans="2:18" ht="17" thickBot="1" x14ac:dyDescent="0.25">
      <c r="B65" s="26" t="s">
        <v>246</v>
      </c>
      <c r="C65" s="26"/>
      <c r="D65" s="26"/>
      <c r="E65" s="26"/>
      <c r="F65" s="26"/>
      <c r="G65" s="110"/>
      <c r="H65" s="110"/>
      <c r="I65" s="110"/>
      <c r="J65" s="110"/>
      <c r="K65" s="110"/>
      <c r="L65" s="110"/>
      <c r="M65" s="307">
        <f>M64*M9</f>
        <v>336</v>
      </c>
      <c r="N65" s="307">
        <f t="shared" ref="N65:Q65" si="22">N64*N9</f>
        <v>351.60047999999995</v>
      </c>
      <c r="O65" s="307">
        <f t="shared" si="22"/>
        <v>439.44692399999997</v>
      </c>
      <c r="P65" s="307">
        <f t="shared" si="22"/>
        <v>508.41345945599988</v>
      </c>
      <c r="Q65" s="307">
        <f t="shared" si="22"/>
        <v>610.82493640559983</v>
      </c>
    </row>
    <row r="67" spans="2:18" x14ac:dyDescent="0.2">
      <c r="B67" s="13" t="s">
        <v>235</v>
      </c>
      <c r="J67" t="s">
        <v>723</v>
      </c>
    </row>
    <row r="68" spans="2:18" x14ac:dyDescent="0.2">
      <c r="B68" t="s">
        <v>363</v>
      </c>
      <c r="G68" s="16">
        <f>G53</f>
        <v>1271.3130686517784</v>
      </c>
      <c r="H68" s="16">
        <f t="shared" ref="H68:Q68" si="23">H53</f>
        <v>1233.3762824692037</v>
      </c>
      <c r="I68" s="16">
        <f t="shared" si="23"/>
        <v>1267.3380952380953</v>
      </c>
      <c r="J68" s="16">
        <f t="shared" si="23"/>
        <v>1356.328921078921</v>
      </c>
      <c r="K68" s="16">
        <f t="shared" si="23"/>
        <v>1490.336052898203</v>
      </c>
      <c r="L68" s="16">
        <f t="shared" si="23"/>
        <v>2318.5209145427284</v>
      </c>
      <c r="M68" s="16">
        <f ca="1">M53</f>
        <v>2390.817929882679</v>
      </c>
      <c r="N68" s="16">
        <f t="shared" ca="1" si="23"/>
        <v>2469.504516863457</v>
      </c>
      <c r="O68" s="16">
        <f t="shared" ca="1" si="23"/>
        <v>2625.9849336508873</v>
      </c>
      <c r="P68" s="16">
        <f t="shared" ca="1" si="23"/>
        <v>2832.6030925065561</v>
      </c>
      <c r="Q68" s="16">
        <f t="shared" ca="1" si="23"/>
        <v>3117.0437249707475</v>
      </c>
    </row>
    <row r="69" spans="2:18" x14ac:dyDescent="0.2">
      <c r="B69" t="s">
        <v>135</v>
      </c>
      <c r="G69" s="50">
        <f>G47+G31+G21</f>
        <v>-116</v>
      </c>
      <c r="H69" s="50">
        <f t="shared" ref="H69:K69" si="24">H47+H31+H21</f>
        <v>-121</v>
      </c>
      <c r="I69" s="50">
        <f t="shared" si="24"/>
        <v>-126</v>
      </c>
      <c r="J69" s="50">
        <f t="shared" si="24"/>
        <v>-104</v>
      </c>
      <c r="K69" s="50">
        <f t="shared" si="24"/>
        <v>-119</v>
      </c>
      <c r="L69" s="50">
        <f>L47+L31+L21</f>
        <v>-141</v>
      </c>
      <c r="M69" s="308">
        <v>0.15</v>
      </c>
      <c r="N69" s="308">
        <v>0.15</v>
      </c>
      <c r="O69" s="308">
        <v>0.15</v>
      </c>
      <c r="P69" s="308">
        <v>0.15</v>
      </c>
      <c r="Q69" s="308">
        <v>0.15</v>
      </c>
    </row>
    <row r="70" spans="2:18" x14ac:dyDescent="0.2">
      <c r="B70" t="s">
        <v>136</v>
      </c>
      <c r="G70" s="69">
        <f>-G69/G68</f>
        <v>9.1244244128645249E-2</v>
      </c>
      <c r="H70" s="69">
        <f t="shared" ref="H70:L70" si="25">-H69/H68</f>
        <v>9.8104691747241582E-2</v>
      </c>
      <c r="I70" s="69">
        <f t="shared" si="25"/>
        <v>9.9420983613948993E-2</v>
      </c>
      <c r="J70" s="69">
        <f t="shared" si="25"/>
        <v>7.667756573182187E-2</v>
      </c>
      <c r="K70" s="69">
        <f t="shared" si="25"/>
        <v>7.9847763038802547E-2</v>
      </c>
      <c r="L70" s="69">
        <f t="shared" si="25"/>
        <v>6.0814633638018659E-2</v>
      </c>
      <c r="M70" s="101">
        <v>0.14000000000000001</v>
      </c>
      <c r="N70" s="101">
        <v>0.14000000000000001</v>
      </c>
      <c r="O70" s="101">
        <v>0.14000000000000001</v>
      </c>
      <c r="P70" s="101">
        <v>0.14000000000000001</v>
      </c>
      <c r="Q70" s="101">
        <v>0.14000000000000001</v>
      </c>
      <c r="R70" s="96"/>
    </row>
    <row r="71" spans="2:18" x14ac:dyDescent="0.2">
      <c r="B71" t="s">
        <v>137</v>
      </c>
      <c r="G71" s="50"/>
      <c r="H71" s="50"/>
      <c r="I71" s="50"/>
      <c r="J71" s="50"/>
      <c r="K71" s="50"/>
      <c r="L71" s="50"/>
      <c r="M71" s="101">
        <v>0.11</v>
      </c>
      <c r="N71" s="101">
        <v>0.11</v>
      </c>
      <c r="O71" s="101">
        <v>0.11</v>
      </c>
      <c r="P71" s="101">
        <v>0.11</v>
      </c>
      <c r="Q71" s="101">
        <v>0.11</v>
      </c>
    </row>
    <row r="72" spans="2:18" x14ac:dyDescent="0.2">
      <c r="B72" t="s">
        <v>138</v>
      </c>
      <c r="G72" s="50"/>
      <c r="H72" s="50"/>
      <c r="I72" s="50"/>
      <c r="J72" s="50"/>
      <c r="K72" s="50"/>
      <c r="L72" s="50"/>
      <c r="M72" s="101">
        <v>0.1</v>
      </c>
      <c r="N72" s="101">
        <v>0.1</v>
      </c>
      <c r="O72" s="101">
        <v>0.1</v>
      </c>
      <c r="P72" s="101">
        <v>0.1</v>
      </c>
      <c r="Q72" s="101">
        <v>0.1</v>
      </c>
    </row>
    <row r="73" spans="2:18" x14ac:dyDescent="0.2">
      <c r="B73" s="13" t="s">
        <v>360</v>
      </c>
      <c r="G73" s="50"/>
      <c r="H73" s="50"/>
      <c r="I73" s="50"/>
      <c r="J73" s="50"/>
      <c r="K73" s="50"/>
      <c r="L73" s="50"/>
      <c r="M73" s="332">
        <f>CHOOSE($V$5,M69,M70,M71,M72)</f>
        <v>0.11</v>
      </c>
      <c r="N73" s="332">
        <f t="shared" ref="N73:Q73" si="26">CHOOSE($V$5,N69,N70,N71,N72)</f>
        <v>0.11</v>
      </c>
      <c r="O73" s="332">
        <f t="shared" si="26"/>
        <v>0.11</v>
      </c>
      <c r="P73" s="332">
        <f t="shared" si="26"/>
        <v>0.11</v>
      </c>
      <c r="Q73" s="332">
        <f t="shared" si="26"/>
        <v>0.11</v>
      </c>
    </row>
    <row r="74" spans="2:18" ht="17" thickBot="1" x14ac:dyDescent="0.25">
      <c r="B74" s="25" t="s">
        <v>245</v>
      </c>
      <c r="C74" s="26"/>
      <c r="D74" s="26"/>
      <c r="E74" s="26"/>
      <c r="F74" s="26"/>
      <c r="G74" s="110"/>
      <c r="H74" s="110"/>
      <c r="I74" s="110"/>
      <c r="J74" s="110"/>
      <c r="K74" s="110"/>
      <c r="L74" s="110"/>
      <c r="M74" s="307">
        <f>M73*L68</f>
        <v>255.03730059970013</v>
      </c>
      <c r="N74" s="307">
        <f t="shared" ref="N74:Q74" ca="1" si="27">N73*M68</f>
        <v>262.9899722870947</v>
      </c>
      <c r="O74" s="307">
        <f t="shared" ca="1" si="27"/>
        <v>271.64549685498025</v>
      </c>
      <c r="P74" s="307">
        <f t="shared" ca="1" si="27"/>
        <v>288.85834270159762</v>
      </c>
      <c r="Q74" s="307">
        <f t="shared" ca="1" si="27"/>
        <v>311.58634017572115</v>
      </c>
    </row>
    <row r="76" spans="2:18" x14ac:dyDescent="0.2">
      <c r="B76" s="13" t="s">
        <v>236</v>
      </c>
    </row>
    <row r="77" spans="2:18" x14ac:dyDescent="0.2">
      <c r="B77" t="s">
        <v>241</v>
      </c>
    </row>
    <row r="78" spans="2:18" x14ac:dyDescent="0.2">
      <c r="B78" t="s">
        <v>135</v>
      </c>
      <c r="G78" s="50"/>
      <c r="H78" s="50"/>
      <c r="I78" s="50"/>
      <c r="J78" s="50"/>
      <c r="K78" s="50"/>
      <c r="L78" s="50"/>
      <c r="M78" s="102">
        <v>1.4999999999999999E-2</v>
      </c>
      <c r="N78" s="102">
        <v>1.4999999999999999E-2</v>
      </c>
      <c r="O78" s="102">
        <v>1.4999999999999999E-2</v>
      </c>
      <c r="P78" s="102">
        <v>1.4999999999999999E-2</v>
      </c>
      <c r="Q78" s="102">
        <v>1.4999999999999999E-2</v>
      </c>
    </row>
    <row r="79" spans="2:18" x14ac:dyDescent="0.2">
      <c r="B79" t="s">
        <v>136</v>
      </c>
      <c r="G79" s="50"/>
      <c r="H79" s="50"/>
      <c r="I79" s="50"/>
      <c r="J79" s="50"/>
      <c r="K79" s="50"/>
      <c r="L79" s="50"/>
      <c r="M79" s="102">
        <v>7.4999999999999997E-3</v>
      </c>
      <c r="N79" s="102">
        <v>7.4999999999999997E-3</v>
      </c>
      <c r="O79" s="102">
        <v>7.4999999999999997E-3</v>
      </c>
      <c r="P79" s="102">
        <v>7.4999999999999997E-3</v>
      </c>
      <c r="Q79" s="102">
        <v>7.4999999999999997E-3</v>
      </c>
    </row>
    <row r="80" spans="2:18" x14ac:dyDescent="0.2">
      <c r="B80" t="s">
        <v>137</v>
      </c>
      <c r="G80" s="50"/>
      <c r="H80" s="50"/>
      <c r="I80" s="50"/>
      <c r="J80" s="50"/>
      <c r="K80" s="50"/>
      <c r="L80" s="50"/>
      <c r="M80" s="102">
        <v>5.0000000000000001E-3</v>
      </c>
      <c r="N80" s="102">
        <v>5.0000000000000001E-3</v>
      </c>
      <c r="O80" s="102">
        <v>5.0000000000000001E-3</v>
      </c>
      <c r="P80" s="102">
        <v>5.0000000000000001E-3</v>
      </c>
      <c r="Q80" s="102">
        <v>5.0000000000000001E-3</v>
      </c>
    </row>
    <row r="81" spans="2:17" x14ac:dyDescent="0.2">
      <c r="B81" t="s">
        <v>138</v>
      </c>
      <c r="G81" s="50"/>
      <c r="H81" s="50"/>
      <c r="I81" s="50"/>
      <c r="J81" s="50"/>
      <c r="K81" s="50"/>
      <c r="L81" s="50"/>
      <c r="M81" s="103">
        <v>0.01</v>
      </c>
      <c r="N81" s="103">
        <v>0.01</v>
      </c>
      <c r="O81" s="103">
        <v>0.01</v>
      </c>
      <c r="P81" s="103">
        <v>0.01</v>
      </c>
      <c r="Q81" s="103">
        <v>0.01</v>
      </c>
    </row>
    <row r="84" spans="2:17" x14ac:dyDescent="0.2">
      <c r="B84" s="13" t="s">
        <v>287</v>
      </c>
      <c r="M84" s="20">
        <f>SUM(M74)-M33</f>
        <v>263.03730059970013</v>
      </c>
      <c r="N84" s="20">
        <f t="shared" ref="N84:Q84" ca="1" si="28">SUM(N74)-N33</f>
        <v>270.9899722870947</v>
      </c>
      <c r="O84" s="20">
        <f t="shared" ca="1" si="28"/>
        <v>279.64549685498025</v>
      </c>
      <c r="P84" s="20">
        <f t="shared" ca="1" si="28"/>
        <v>296.85834270159762</v>
      </c>
      <c r="Q84" s="20">
        <f t="shared" ca="1" si="28"/>
        <v>319.58634017572115</v>
      </c>
    </row>
    <row r="86" spans="2:17" x14ac:dyDescent="0.2">
      <c r="B86" s="13" t="s">
        <v>700</v>
      </c>
    </row>
    <row r="87" spans="2:17" x14ac:dyDescent="0.2">
      <c r="B87" t="s">
        <v>701</v>
      </c>
      <c r="G87" s="359">
        <f t="shared" ref="G87:Q87" si="29">F25</f>
        <v>0</v>
      </c>
      <c r="H87" s="359">
        <f t="shared" si="29"/>
        <v>89.166666666666657</v>
      </c>
      <c r="I87" s="359">
        <f t="shared" si="29"/>
        <v>101.20529801324503</v>
      </c>
      <c r="J87" s="359">
        <f t="shared" si="29"/>
        <v>108.16666666666666</v>
      </c>
      <c r="K87" s="359">
        <f t="shared" si="29"/>
        <v>122.17307692307693</v>
      </c>
      <c r="L87" s="359">
        <f t="shared" si="29"/>
        <v>182.16312056737587</v>
      </c>
      <c r="M87" s="359">
        <f>L25</f>
        <v>281.35000000000002</v>
      </c>
      <c r="N87" s="359">
        <f t="shared" ca="1" si="29"/>
        <v>320.39685581971014</v>
      </c>
      <c r="O87" s="359">
        <f t="shared" ca="1" si="29"/>
        <v>360.80707023016424</v>
      </c>
      <c r="P87" s="359">
        <f t="shared" ca="1" si="29"/>
        <v>421.80762998157871</v>
      </c>
      <c r="Q87" s="359">
        <f t="shared" ca="1" si="29"/>
        <v>496.37063759564603</v>
      </c>
    </row>
    <row r="88" spans="2:17" x14ac:dyDescent="0.2">
      <c r="B88" s="13" t="s">
        <v>702</v>
      </c>
      <c r="G88">
        <f>G13</f>
        <v>21</v>
      </c>
      <c r="H88">
        <f t="shared" ref="H88:L88" si="30">H13</f>
        <v>31</v>
      </c>
      <c r="I88">
        <f t="shared" si="30"/>
        <v>30</v>
      </c>
      <c r="J88">
        <f t="shared" si="30"/>
        <v>36</v>
      </c>
      <c r="K88">
        <f t="shared" si="30"/>
        <v>46</v>
      </c>
      <c r="L88">
        <f t="shared" si="30"/>
        <v>83</v>
      </c>
      <c r="M88" s="359">
        <f>M13</f>
        <v>97.999999999999986</v>
      </c>
      <c r="N88" s="359">
        <f>N13</f>
        <v>102.55013999999997</v>
      </c>
      <c r="O88" s="359">
        <f t="shared" ref="O88:Q88" si="31">O13</f>
        <v>128.17201949999998</v>
      </c>
      <c r="P88" s="359">
        <f t="shared" si="31"/>
        <v>148.28725900799995</v>
      </c>
      <c r="Q88" s="359">
        <f t="shared" si="31"/>
        <v>178.15727311829994</v>
      </c>
    </row>
    <row r="89" spans="2:17" x14ac:dyDescent="0.2">
      <c r="B89" t="s">
        <v>703</v>
      </c>
      <c r="D89" t="s">
        <v>709</v>
      </c>
      <c r="F89" s="292">
        <v>0.15</v>
      </c>
      <c r="G89" s="205">
        <f>(G70+$F$89)*G87</f>
        <v>0</v>
      </c>
      <c r="H89" s="205">
        <f t="shared" ref="H89:L89" si="32">(H70+$F$89)*H87</f>
        <v>22.122668347462373</v>
      </c>
      <c r="I89" s="205">
        <f t="shared" si="32"/>
        <v>25.242724977406411</v>
      </c>
      <c r="J89" s="205">
        <f t="shared" si="32"/>
        <v>24.518956693325396</v>
      </c>
      <c r="K89" s="205">
        <f t="shared" si="32"/>
        <v>28.081208434336784</v>
      </c>
      <c r="L89" s="205">
        <f t="shared" si="32"/>
        <v>38.402651524769567</v>
      </c>
      <c r="M89" s="359">
        <f>(M73+$F$89)*M87</f>
        <v>73.15100000000001</v>
      </c>
      <c r="N89" s="359">
        <f ca="1">(N73+$F$89)*N87</f>
        <v>83.303182513124639</v>
      </c>
      <c r="O89" s="359">
        <f t="shared" ref="O89:Q89" ca="1" si="33">(O73+$F$89)*O87</f>
        <v>93.809838259842707</v>
      </c>
      <c r="P89" s="359">
        <f t="shared" ca="1" si="33"/>
        <v>109.66998379521047</v>
      </c>
      <c r="Q89" s="359">
        <f t="shared" ca="1" si="33"/>
        <v>129.05636577486797</v>
      </c>
    </row>
    <row r="90" spans="2:17" x14ac:dyDescent="0.2">
      <c r="B90" s="13" t="s">
        <v>704</v>
      </c>
      <c r="G90" s="205">
        <f>G87+G88-G89</f>
        <v>21</v>
      </c>
      <c r="H90" s="205">
        <f>H87+H88-H89</f>
        <v>98.043998319204292</v>
      </c>
      <c r="I90" s="205">
        <f t="shared" ref="I90:N90" si="34">I87+I88-I89</f>
        <v>105.96257303583862</v>
      </c>
      <c r="J90" s="205">
        <f t="shared" si="34"/>
        <v>119.64770997334126</v>
      </c>
      <c r="K90" s="205">
        <f t="shared" si="34"/>
        <v>140.09186848874015</v>
      </c>
      <c r="L90" s="205">
        <f>L87+L88-L89</f>
        <v>226.7604690426063</v>
      </c>
      <c r="M90" s="359">
        <f t="shared" si="34"/>
        <v>306.19900000000001</v>
      </c>
      <c r="N90" s="359">
        <f t="shared" ca="1" si="34"/>
        <v>339.64381330658546</v>
      </c>
      <c r="O90" s="359">
        <f t="shared" ref="O90" ca="1" si="35">O87+O88-O89</f>
        <v>395.16925147032151</v>
      </c>
      <c r="P90" s="359">
        <f t="shared" ref="P90" ca="1" si="36">P87+P88-P89</f>
        <v>460.42490519436819</v>
      </c>
      <c r="Q90" s="359">
        <f t="shared" ref="Q90" ca="1" si="37">Q87+Q88-Q89</f>
        <v>545.47154493907806</v>
      </c>
    </row>
    <row r="91" spans="2:17" x14ac:dyDescent="0.2">
      <c r="B91" s="13" t="s">
        <v>705</v>
      </c>
      <c r="M91" s="20">
        <f ca="1">M25</f>
        <v>320.39685581971014</v>
      </c>
      <c r="N91" s="20">
        <f t="shared" ref="N91:Q91" ca="1" si="38">N25</f>
        <v>360.80707023016424</v>
      </c>
      <c r="O91" s="20">
        <f t="shared" ca="1" si="38"/>
        <v>421.80762998157871</v>
      </c>
      <c r="P91" s="20">
        <f t="shared" ca="1" si="38"/>
        <v>496.37063759564603</v>
      </c>
      <c r="Q91" s="20">
        <f t="shared" ca="1" si="38"/>
        <v>592.17813862432581</v>
      </c>
    </row>
    <row r="92" spans="2:17" x14ac:dyDescent="0.2">
      <c r="B92" s="13" t="s">
        <v>706</v>
      </c>
      <c r="M92" s="205">
        <f ca="1">M91-M90</f>
        <v>14.197855819710128</v>
      </c>
      <c r="N92" s="205">
        <f t="shared" ref="N92:Q92" ca="1" si="39">N91-N90</f>
        <v>21.163256923578786</v>
      </c>
      <c r="O92" s="205">
        <f t="shared" ca="1" si="39"/>
        <v>26.638378511257201</v>
      </c>
      <c r="P92" s="205">
        <f t="shared" ca="1" si="39"/>
        <v>35.945732401277837</v>
      </c>
      <c r="Q92" s="205">
        <f t="shared" ca="1" si="39"/>
        <v>46.706593685247753</v>
      </c>
    </row>
    <row r="94" spans="2:17" x14ac:dyDescent="0.2">
      <c r="B94" s="13" t="s">
        <v>707</v>
      </c>
      <c r="F94" s="293">
        <v>0.28299999999999997</v>
      </c>
      <c r="M94" s="205">
        <f ca="1">M92*$F$94</f>
        <v>4.0179931969779661</v>
      </c>
      <c r="N94" s="205">
        <f t="shared" ref="N94:Q94" ca="1" si="40">N92*$F$94</f>
        <v>5.9892017093727956</v>
      </c>
      <c r="O94" s="205">
        <f t="shared" ca="1" si="40"/>
        <v>7.5386611186857877</v>
      </c>
      <c r="P94" s="205">
        <f t="shared" ca="1" si="40"/>
        <v>10.172642269561628</v>
      </c>
      <c r="Q94" s="205">
        <f t="shared" ca="1" si="40"/>
        <v>13.217966012925112</v>
      </c>
    </row>
    <row r="97" spans="2:10" x14ac:dyDescent="0.2">
      <c r="B97" s="305" t="s">
        <v>671</v>
      </c>
      <c r="C97" s="84"/>
      <c r="D97" s="84">
        <v>2019</v>
      </c>
      <c r="E97" s="84">
        <v>2020</v>
      </c>
      <c r="F97" s="84">
        <v>2021</v>
      </c>
      <c r="G97" s="84">
        <v>2022</v>
      </c>
      <c r="H97" s="84">
        <v>2023</v>
      </c>
      <c r="I97" s="84">
        <v>2024</v>
      </c>
      <c r="J97" s="85"/>
    </row>
    <row r="98" spans="2:10" x14ac:dyDescent="0.2">
      <c r="B98" s="170"/>
      <c r="J98" s="208"/>
    </row>
    <row r="99" spans="2:10" x14ac:dyDescent="0.2">
      <c r="B99" s="170" t="s">
        <v>313</v>
      </c>
      <c r="D99" s="294">
        <f t="shared" ref="D99:I99" si="41">G45+G29+G13</f>
        <v>101</v>
      </c>
      <c r="E99" s="294">
        <f t="shared" si="41"/>
        <v>107</v>
      </c>
      <c r="F99" s="294">
        <f t="shared" si="41"/>
        <v>112</v>
      </c>
      <c r="G99" s="294">
        <f t="shared" si="41"/>
        <v>169</v>
      </c>
      <c r="H99" s="294">
        <f t="shared" si="41"/>
        <v>210</v>
      </c>
      <c r="I99" s="294">
        <f t="shared" si="41"/>
        <v>219</v>
      </c>
      <c r="J99" s="208" t="s">
        <v>676</v>
      </c>
    </row>
    <row r="100" spans="2:10" x14ac:dyDescent="0.2">
      <c r="B100" s="170" t="s">
        <v>41</v>
      </c>
      <c r="D100" s="128">
        <f t="shared" ref="D100:I100" si="42">G13/D99</f>
        <v>0.20792079207920791</v>
      </c>
      <c r="E100" s="128">
        <f t="shared" si="42"/>
        <v>0.28971962616822428</v>
      </c>
      <c r="F100" s="128">
        <f t="shared" si="42"/>
        <v>0.26785714285714285</v>
      </c>
      <c r="G100" s="128">
        <f t="shared" si="42"/>
        <v>0.21301775147928995</v>
      </c>
      <c r="H100" s="128">
        <f t="shared" si="42"/>
        <v>0.21904761904761905</v>
      </c>
      <c r="I100" s="128">
        <f t="shared" si="42"/>
        <v>0.37899543378995432</v>
      </c>
      <c r="J100" s="383">
        <f>AVERAGE(G100:I100)</f>
        <v>0.27035360143895443</v>
      </c>
    </row>
    <row r="101" spans="2:10" x14ac:dyDescent="0.2">
      <c r="B101" s="170" t="s">
        <v>672</v>
      </c>
      <c r="D101" s="128">
        <f t="shared" ref="D101:I101" si="43">G29/D99</f>
        <v>0.58415841584158412</v>
      </c>
      <c r="E101" s="128">
        <f t="shared" si="43"/>
        <v>0.61682242990654201</v>
      </c>
      <c r="F101" s="128">
        <f t="shared" si="43"/>
        <v>0.5892857142857143</v>
      </c>
      <c r="G101" s="128">
        <f t="shared" si="43"/>
        <v>0.35502958579881655</v>
      </c>
      <c r="H101" s="128">
        <f t="shared" si="43"/>
        <v>0.32857142857142857</v>
      </c>
      <c r="I101" s="128">
        <f t="shared" si="43"/>
        <v>0.52054794520547942</v>
      </c>
      <c r="J101" s="383">
        <f t="shared" ref="J101:J102" si="44">AVERAGE(G101:I101)</f>
        <v>0.40138298652524157</v>
      </c>
    </row>
    <row r="102" spans="2:10" x14ac:dyDescent="0.2">
      <c r="B102" s="86" t="s">
        <v>239</v>
      </c>
      <c r="C102" s="22"/>
      <c r="D102" s="130">
        <f t="shared" ref="D102:I102" si="45">G45/D99</f>
        <v>0.20792079207920791</v>
      </c>
      <c r="E102" s="130">
        <f t="shared" si="45"/>
        <v>9.3457943925233641E-2</v>
      </c>
      <c r="F102" s="130">
        <f t="shared" si="45"/>
        <v>0.14285714285714285</v>
      </c>
      <c r="G102" s="130">
        <f t="shared" si="45"/>
        <v>0.43195266272189348</v>
      </c>
      <c r="H102" s="130">
        <f t="shared" si="45"/>
        <v>0.45238095238095238</v>
      </c>
      <c r="I102" s="130">
        <f t="shared" si="45"/>
        <v>0.1004566210045662</v>
      </c>
      <c r="J102" s="385">
        <f t="shared" si="44"/>
        <v>0.328263412035804</v>
      </c>
    </row>
    <row r="105" spans="2:10" x14ac:dyDescent="0.2">
      <c r="B105" s="305" t="s">
        <v>677</v>
      </c>
      <c r="C105" s="84"/>
      <c r="D105" s="84">
        <v>2019</v>
      </c>
      <c r="E105" s="84">
        <v>2020</v>
      </c>
      <c r="F105" s="84">
        <v>2021</v>
      </c>
      <c r="G105" s="84">
        <v>2022</v>
      </c>
      <c r="H105" s="84">
        <v>2023</v>
      </c>
      <c r="I105" s="84">
        <v>2024</v>
      </c>
      <c r="J105" s="85"/>
    </row>
    <row r="106" spans="2:10" x14ac:dyDescent="0.2">
      <c r="B106" s="170" t="s">
        <v>313</v>
      </c>
      <c r="D106" s="384">
        <f t="shared" ref="D106:I106" si="46">G47+G31+G21</f>
        <v>-116</v>
      </c>
      <c r="E106" s="384">
        <f t="shared" si="46"/>
        <v>-121</v>
      </c>
      <c r="F106" s="384">
        <f t="shared" si="46"/>
        <v>-126</v>
      </c>
      <c r="G106" s="384">
        <f t="shared" si="46"/>
        <v>-104</v>
      </c>
      <c r="H106" s="384">
        <f t="shared" si="46"/>
        <v>-119</v>
      </c>
      <c r="I106" s="384">
        <f t="shared" si="46"/>
        <v>-141</v>
      </c>
      <c r="J106" s="208"/>
    </row>
    <row r="107" spans="2:10" x14ac:dyDescent="0.2">
      <c r="B107" s="170" t="s">
        <v>41</v>
      </c>
      <c r="D107" s="128">
        <f t="shared" ref="D107:I107" si="47">G21/D106</f>
        <v>0.18103448275862069</v>
      </c>
      <c r="E107" s="128">
        <f t="shared" si="47"/>
        <v>0.18181818181818182</v>
      </c>
      <c r="F107" s="128">
        <f t="shared" si="47"/>
        <v>0.18253968253968253</v>
      </c>
      <c r="G107" s="128">
        <f t="shared" si="47"/>
        <v>0.21153846153846154</v>
      </c>
      <c r="H107" s="128">
        <f t="shared" si="47"/>
        <v>0.21008403361344538</v>
      </c>
      <c r="I107" s="128">
        <f t="shared" si="47"/>
        <v>0.19858156028368795</v>
      </c>
      <c r="J107" s="383">
        <f>AVERAGE(G107:I107)</f>
        <v>0.2067346851451983</v>
      </c>
    </row>
    <row r="108" spans="2:10" x14ac:dyDescent="0.2">
      <c r="B108" s="170" t="s">
        <v>672</v>
      </c>
      <c r="D108" s="128">
        <f t="shared" ref="D108:I108" si="48">G31/D106</f>
        <v>0.67241379310344829</v>
      </c>
      <c r="E108" s="128">
        <f t="shared" si="48"/>
        <v>0.66115702479338845</v>
      </c>
      <c r="F108" s="128">
        <f t="shared" si="48"/>
        <v>0.65079365079365081</v>
      </c>
      <c r="G108" s="128">
        <f t="shared" si="48"/>
        <v>0.56730769230769229</v>
      </c>
      <c r="H108" s="128">
        <f t="shared" si="48"/>
        <v>0.51260504201680668</v>
      </c>
      <c r="I108" s="128">
        <f t="shared" si="48"/>
        <v>0.64539007092198586</v>
      </c>
      <c r="J108" s="383">
        <f t="shared" ref="J108:J109" si="49">AVERAGE(G108:I108)</f>
        <v>0.57510093508216154</v>
      </c>
    </row>
    <row r="109" spans="2:10" x14ac:dyDescent="0.2">
      <c r="B109" s="86" t="s">
        <v>239</v>
      </c>
      <c r="C109" s="22"/>
      <c r="D109" s="130">
        <f t="shared" ref="D109:I109" si="50">G47/D106</f>
        <v>0.14655172413793102</v>
      </c>
      <c r="E109" s="130">
        <f t="shared" si="50"/>
        <v>0.15702479338842976</v>
      </c>
      <c r="F109" s="130">
        <f t="shared" si="50"/>
        <v>0.16666666666666666</v>
      </c>
      <c r="G109" s="130">
        <f t="shared" si="50"/>
        <v>0.22115384615384615</v>
      </c>
      <c r="H109" s="130">
        <f t="shared" si="50"/>
        <v>0.27731092436974791</v>
      </c>
      <c r="I109" s="130">
        <f t="shared" si="50"/>
        <v>0.15602836879432624</v>
      </c>
      <c r="J109" s="385">
        <f t="shared" si="49"/>
        <v>0.21816437977264011</v>
      </c>
    </row>
    <row r="114" spans="2:2" x14ac:dyDescent="0.2">
      <c r="B114" t="s">
        <v>708</v>
      </c>
    </row>
  </sheetData>
  <dataValidations count="2">
    <dataValidation type="list" allowBlank="1" showInputMessage="1" showErrorMessage="1" sqref="E9" xr:uid="{9606C47F-B1B1-0940-AF77-6887EFAB208A}">
      <formula1>"1, 2, 3, 4"</formula1>
    </dataValidation>
    <dataValidation type="list" allowBlank="1" showInputMessage="1" showErrorMessage="1" sqref="V4:V6" xr:uid="{AF1F741A-FFF4-8941-AC63-DA0DA4DB5D1D}">
      <formula1>"1, 2, 3, 4, 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5CEF-72CF-7942-BA31-F31E97808CDE}">
  <dimension ref="A1:AF166"/>
  <sheetViews>
    <sheetView showGridLines="0" topLeftCell="A36" zoomScale="90" workbookViewId="0">
      <selection activeCell="V14" sqref="V14"/>
    </sheetView>
  </sheetViews>
  <sheetFormatPr baseColWidth="10" defaultRowHeight="16" x14ac:dyDescent="0.2"/>
  <cols>
    <col min="1" max="7" width="10.83203125" style="16"/>
    <col min="8" max="17" width="11.5" style="16" bestFit="1" customWidth="1"/>
    <col min="18" max="16384" width="10.83203125" style="16"/>
  </cols>
  <sheetData>
    <row r="1" spans="1:28" ht="25" thickBot="1" x14ac:dyDescent="0.35">
      <c r="A1" s="119" t="str">
        <f>_xlfn.CONCAT(Inputs!C7, " - ", "Cash Flow", " - ", "in ", Inputs!C9, " ", Inputs!C10)</f>
        <v>HAG - Cash Flow - in Euro millions</v>
      </c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28" ht="17" thickTop="1" x14ac:dyDescent="0.2">
      <c r="V2" s="20" t="s">
        <v>329</v>
      </c>
    </row>
    <row r="4" spans="1:28" x14ac:dyDescent="0.2">
      <c r="B4" s="16" t="s">
        <v>9</v>
      </c>
      <c r="D4" s="113"/>
      <c r="E4" s="113"/>
      <c r="F4" s="113"/>
      <c r="G4" s="16">
        <f>EDATE(Inputs!$C$8, G5*12)</f>
        <v>43830</v>
      </c>
      <c r="H4" s="16">
        <f>EDATE(Inputs!$C$8, H5*12)</f>
        <v>44196</v>
      </c>
      <c r="I4" s="16">
        <f>EDATE(Inputs!$C$8, I5*12)</f>
        <v>44561</v>
      </c>
      <c r="J4" s="16">
        <f>EDATE(Inputs!$C$8, J5*12)</f>
        <v>44926</v>
      </c>
      <c r="K4" s="16">
        <f>EDATE(Inputs!$C$8, K5*12)</f>
        <v>45291</v>
      </c>
      <c r="L4" s="16">
        <f>EDATE(Inputs!$C$8, L5*12)</f>
        <v>45657</v>
      </c>
      <c r="M4" s="16">
        <f>EDATE(Inputs!$C$8, M5*12)</f>
        <v>46022</v>
      </c>
      <c r="N4" s="16">
        <f>EDATE(Inputs!$C$8, N5*12)</f>
        <v>46387</v>
      </c>
      <c r="O4" s="16">
        <f>EDATE(Inputs!$C$8, O5*12)</f>
        <v>46752</v>
      </c>
      <c r="P4" s="16">
        <f>EDATE(Inputs!$C$8, P5*12)</f>
        <v>47118</v>
      </c>
      <c r="Q4" s="16">
        <f>EDATE(Inputs!$C$8, Q5*12)</f>
        <v>47483</v>
      </c>
      <c r="S4" s="20" t="s">
        <v>361</v>
      </c>
      <c r="V4" s="122">
        <f>Inputs!W7</f>
        <v>3</v>
      </c>
    </row>
    <row r="5" spans="1:28" x14ac:dyDescent="0.2">
      <c r="B5" s="16" t="s">
        <v>10</v>
      </c>
      <c r="D5" s="113"/>
      <c r="E5" s="113"/>
      <c r="F5" s="113"/>
      <c r="G5" s="113">
        <v>-5</v>
      </c>
      <c r="H5" s="113">
        <v>-4</v>
      </c>
      <c r="I5" s="113">
        <v>-3</v>
      </c>
      <c r="J5" s="113">
        <v>-2</v>
      </c>
      <c r="K5" s="113">
        <v>-1</v>
      </c>
      <c r="L5" s="113">
        <v>0</v>
      </c>
      <c r="M5" s="113">
        <v>1</v>
      </c>
      <c r="N5" s="113">
        <v>2</v>
      </c>
      <c r="O5" s="113">
        <v>3</v>
      </c>
      <c r="P5" s="113">
        <v>4</v>
      </c>
      <c r="Q5" s="113">
        <v>5</v>
      </c>
    </row>
    <row r="6" spans="1:28" x14ac:dyDescent="0.2">
      <c r="B6" s="16" t="s">
        <v>11</v>
      </c>
      <c r="D6" s="113"/>
      <c r="E6" s="113"/>
      <c r="F6" s="113"/>
      <c r="G6" s="113" t="str">
        <f>_xlfn.CONCAT(Inputs!$C$9, " ", Inputs!$C$10)</f>
        <v>Euro millions</v>
      </c>
      <c r="H6" s="113" t="str">
        <f>_xlfn.CONCAT(Inputs!$C$9, " ", Inputs!$C$10)</f>
        <v>Euro millions</v>
      </c>
      <c r="I6" s="113" t="str">
        <f>_xlfn.CONCAT(Inputs!$C$9, " ", Inputs!$C$10)</f>
        <v>Euro millions</v>
      </c>
      <c r="J6" s="113" t="str">
        <f>_xlfn.CONCAT(Inputs!$C$9, " ", Inputs!$C$10)</f>
        <v>Euro millions</v>
      </c>
      <c r="K6" s="113" t="str">
        <f>_xlfn.CONCAT(Inputs!$C$9, " ", Inputs!$C$10)</f>
        <v>Euro millions</v>
      </c>
      <c r="L6" s="113" t="str">
        <f>_xlfn.CONCAT(Inputs!$C$9, " ", Inputs!$C$10)</f>
        <v>Euro millions</v>
      </c>
      <c r="M6" s="113" t="str">
        <f>_xlfn.CONCAT(Inputs!$C$9, " ", Inputs!$C$10)</f>
        <v>Euro millions</v>
      </c>
      <c r="N6" s="113" t="str">
        <f>_xlfn.CONCAT(Inputs!$C$9, " ", Inputs!$C$10)</f>
        <v>Euro millions</v>
      </c>
      <c r="O6" s="113" t="str">
        <f>_xlfn.CONCAT(Inputs!$C$9, " ", Inputs!$C$10)</f>
        <v>Euro millions</v>
      </c>
      <c r="P6" s="113" t="str">
        <f>_xlfn.CONCAT(Inputs!$C$9, " ", Inputs!$C$10)</f>
        <v>Euro millions</v>
      </c>
      <c r="Q6" s="113" t="str">
        <f>_xlfn.CONCAT(Inputs!$C$9, " ", Inputs!$C$10)</f>
        <v>Euro millions</v>
      </c>
      <c r="S6" s="20" t="s">
        <v>465</v>
      </c>
      <c r="V6" s="122">
        <f>Inputs!W9</f>
        <v>3</v>
      </c>
    </row>
    <row r="7" spans="1:28" x14ac:dyDescent="0.2">
      <c r="B7" s="16" t="s">
        <v>12</v>
      </c>
      <c r="D7" s="113"/>
      <c r="E7" s="113"/>
      <c r="F7" s="113"/>
      <c r="G7" s="113" t="str">
        <f>IF(G5&lt;=0, "Historical", "Forecasted")</f>
        <v>Historical</v>
      </c>
      <c r="H7" s="113" t="str">
        <f>IF(H5&lt;=0, "Historical", "Forecasted")</f>
        <v>Historical</v>
      </c>
      <c r="I7" s="113" t="str">
        <f t="shared" ref="I7:Q7" si="0">IF(I5&lt;=0, "Historical", "Forecasted")</f>
        <v>Historical</v>
      </c>
      <c r="J7" s="113" t="str">
        <f t="shared" si="0"/>
        <v>Historical</v>
      </c>
      <c r="K7" s="113" t="str">
        <f t="shared" si="0"/>
        <v>Historical</v>
      </c>
      <c r="L7" s="113" t="str">
        <f t="shared" si="0"/>
        <v>Historical</v>
      </c>
      <c r="M7" s="113" t="str">
        <f t="shared" si="0"/>
        <v>Forecasted</v>
      </c>
      <c r="N7" s="113" t="str">
        <f t="shared" si="0"/>
        <v>Forecasted</v>
      </c>
      <c r="O7" s="113" t="str">
        <f t="shared" si="0"/>
        <v>Forecasted</v>
      </c>
      <c r="P7" s="113" t="str">
        <f t="shared" si="0"/>
        <v>Forecasted</v>
      </c>
      <c r="Q7" s="113" t="str">
        <f t="shared" si="0"/>
        <v>Forecasted</v>
      </c>
      <c r="S7" s="20" t="s">
        <v>372</v>
      </c>
      <c r="V7" s="122">
        <f>Inputs!W10</f>
        <v>3</v>
      </c>
    </row>
    <row r="8" spans="1:28" x14ac:dyDescent="0.2">
      <c r="S8" s="20" t="s">
        <v>467</v>
      </c>
      <c r="V8" s="122">
        <f>Inputs!W11</f>
        <v>3</v>
      </c>
    </row>
    <row r="9" spans="1:28" x14ac:dyDescent="0.2">
      <c r="B9" s="20" t="s">
        <v>262</v>
      </c>
      <c r="E9" s="122">
        <v>4</v>
      </c>
      <c r="S9" s="20" t="s">
        <v>468</v>
      </c>
      <c r="V9" s="122">
        <f>Inputs!W12</f>
        <v>3</v>
      </c>
    </row>
    <row r="11" spans="1:28" x14ac:dyDescent="0.2">
      <c r="B11" s="20" t="s">
        <v>14</v>
      </c>
      <c r="G11" s="226">
        <f t="shared" ref="G11:Q11" si="1">G20</f>
        <v>1114.2</v>
      </c>
      <c r="H11" s="226">
        <f t="shared" si="1"/>
        <v>1206.9000000000001</v>
      </c>
      <c r="I11" s="226">
        <f t="shared" si="1"/>
        <v>1474</v>
      </c>
      <c r="J11" s="226">
        <f t="shared" si="1"/>
        <v>1707</v>
      </c>
      <c r="K11" s="226">
        <f t="shared" si="1"/>
        <v>1847</v>
      </c>
      <c r="L11" s="226">
        <f t="shared" si="1"/>
        <v>2240</v>
      </c>
      <c r="M11" s="163">
        <f t="shared" si="1"/>
        <v>2800</v>
      </c>
      <c r="N11" s="163">
        <f t="shared" si="1"/>
        <v>2930.0039999999995</v>
      </c>
      <c r="O11" s="163">
        <f t="shared" si="1"/>
        <v>3662.0576999999998</v>
      </c>
      <c r="P11" s="163">
        <f t="shared" si="1"/>
        <v>4236.7788287999992</v>
      </c>
      <c r="Q11" s="163">
        <f t="shared" si="1"/>
        <v>5090.2078033799989</v>
      </c>
      <c r="S11" s="20" t="s">
        <v>132</v>
      </c>
      <c r="V11" s="122">
        <f>Inputs!W14</f>
        <v>3</v>
      </c>
    </row>
    <row r="12" spans="1:28" x14ac:dyDescent="0.2">
      <c r="B12" s="20" t="s">
        <v>328</v>
      </c>
      <c r="G12" s="226">
        <f>G15</f>
        <v>859.3</v>
      </c>
      <c r="H12" s="226">
        <f t="shared" ref="H12:Q12" si="2">H15</f>
        <v>936.1</v>
      </c>
      <c r="I12" s="226">
        <f t="shared" si="2"/>
        <v>1144</v>
      </c>
      <c r="J12" s="226">
        <f t="shared" si="2"/>
        <v>1314</v>
      </c>
      <c r="K12" s="226">
        <f t="shared" si="2"/>
        <v>1427</v>
      </c>
      <c r="L12" s="226">
        <f t="shared" si="2"/>
        <v>1732</v>
      </c>
      <c r="M12" s="163">
        <f t="shared" si="2"/>
        <v>1959.9999999999998</v>
      </c>
      <c r="N12" s="163">
        <f t="shared" si="2"/>
        <v>2021.7027599999994</v>
      </c>
      <c r="O12" s="163">
        <f t="shared" si="2"/>
        <v>2490.1992359999999</v>
      </c>
      <c r="P12" s="163">
        <f t="shared" si="2"/>
        <v>2881.0096035839997</v>
      </c>
      <c r="Q12" s="163">
        <f t="shared" si="2"/>
        <v>3461.3413062983996</v>
      </c>
      <c r="S12" s="20" t="s">
        <v>394</v>
      </c>
      <c r="V12" s="122">
        <f>Inputs!W15</f>
        <v>3</v>
      </c>
    </row>
    <row r="13" spans="1:28" x14ac:dyDescent="0.2">
      <c r="S13" s="20" t="s">
        <v>588</v>
      </c>
      <c r="V13" s="122">
        <f>Inputs!W16</f>
        <v>2</v>
      </c>
    </row>
    <row r="14" spans="1:28" x14ac:dyDescent="0.2">
      <c r="B14" s="123" t="s">
        <v>100</v>
      </c>
    </row>
    <row r="15" spans="1:28" x14ac:dyDescent="0.2">
      <c r="B15" s="16" t="s">
        <v>253</v>
      </c>
      <c r="G15" s="63">
        <f>'IS Neu'!D13*-1</f>
        <v>859.3</v>
      </c>
      <c r="H15" s="63">
        <f>'IS Neu'!E13*-1</f>
        <v>936.1</v>
      </c>
      <c r="I15" s="63">
        <f>'IS Neu'!F13*-1</f>
        <v>1144</v>
      </c>
      <c r="J15" s="63">
        <f>'IS Neu'!G13*-1</f>
        <v>1314</v>
      </c>
      <c r="K15" s="63">
        <f>'IS Neu'!H13*-1</f>
        <v>1427</v>
      </c>
      <c r="L15" s="63">
        <f>'IS Neu'!I13*-1</f>
        <v>1732</v>
      </c>
      <c r="M15" s="215">
        <f>'Revenue &amp; Expenses (updated)'!M45</f>
        <v>1959.9999999999998</v>
      </c>
      <c r="N15" s="215">
        <f>'Revenue &amp; Expenses (updated)'!N45</f>
        <v>2021.7027599999994</v>
      </c>
      <c r="O15" s="215">
        <f>'Revenue &amp; Expenses (updated)'!O45</f>
        <v>2490.1992359999999</v>
      </c>
      <c r="P15" s="215">
        <f>'Revenue &amp; Expenses (updated)'!P45</f>
        <v>2881.0096035839997</v>
      </c>
      <c r="Q15" s="215">
        <f>'Revenue &amp; Expenses (updated)'!Q45</f>
        <v>3461.3413062983996</v>
      </c>
    </row>
    <row r="16" spans="1:28" x14ac:dyDescent="0.2">
      <c r="B16" s="16" t="s">
        <v>254</v>
      </c>
      <c r="G16" s="63">
        <f>'BS Neu'!D22</f>
        <v>411.1</v>
      </c>
      <c r="H16" s="63">
        <f>'BS Neu'!E22</f>
        <v>403.7</v>
      </c>
      <c r="I16" s="63">
        <f>'BS Neu'!F22</f>
        <v>444</v>
      </c>
      <c r="J16" s="63">
        <f>'BS Neu'!G22</f>
        <v>516</v>
      </c>
      <c r="K16" s="63">
        <f>'BS Neu'!H22</f>
        <v>625</v>
      </c>
      <c r="L16" s="63">
        <f>'BS Neu'!I22</f>
        <v>719</v>
      </c>
      <c r="M16" s="228">
        <f>M17/365*M15</f>
        <v>751.78082191780811</v>
      </c>
      <c r="N16" s="160">
        <f>N17/365*N15</f>
        <v>775.44763397260249</v>
      </c>
      <c r="O16" s="160">
        <f>O17/365*O15</f>
        <v>955.14491243835607</v>
      </c>
      <c r="P16" s="160">
        <f>P17/365*P15</f>
        <v>1105.0447794568765</v>
      </c>
      <c r="Q16" s="161">
        <f>Q17/365*Q15</f>
        <v>1327.637761319934</v>
      </c>
      <c r="S16" s="57" t="s">
        <v>264</v>
      </c>
      <c r="T16" s="166"/>
      <c r="U16" s="166"/>
      <c r="V16" s="166"/>
      <c r="W16" s="166"/>
      <c r="X16" s="166"/>
      <c r="Y16" s="166"/>
      <c r="Z16" s="166"/>
      <c r="AA16" s="166"/>
      <c r="AB16" s="167"/>
    </row>
    <row r="17" spans="2:28" x14ac:dyDescent="0.2">
      <c r="B17" s="16" t="s">
        <v>255</v>
      </c>
      <c r="G17" s="63">
        <f t="shared" ref="G17:L17" si="3">(G16/G15)*365</f>
        <v>174.62062143605263</v>
      </c>
      <c r="H17" s="63">
        <f t="shared" si="3"/>
        <v>157.40893066980021</v>
      </c>
      <c r="I17" s="63">
        <f t="shared" si="3"/>
        <v>141.66083916083917</v>
      </c>
      <c r="J17" s="63">
        <f t="shared" si="3"/>
        <v>143.33333333333331</v>
      </c>
      <c r="K17" s="63">
        <f t="shared" si="3"/>
        <v>159.86334968465312</v>
      </c>
      <c r="L17" s="63">
        <f t="shared" si="3"/>
        <v>151.52136258660508</v>
      </c>
      <c r="M17" s="232">
        <f>CHOOSE($V$4,M40,M41,M42,M43)</f>
        <v>140</v>
      </c>
      <c r="N17" s="232">
        <f t="shared" ref="N17:Q17" si="4">CHOOSE($V$4,N40,N41,N42,N43)</f>
        <v>140</v>
      </c>
      <c r="O17" s="232">
        <f t="shared" si="4"/>
        <v>140</v>
      </c>
      <c r="P17" s="232">
        <f t="shared" si="4"/>
        <v>140</v>
      </c>
      <c r="Q17" s="232">
        <f t="shared" si="4"/>
        <v>140</v>
      </c>
      <c r="S17" s="42" t="s">
        <v>459</v>
      </c>
      <c r="AB17" s="127"/>
    </row>
    <row r="18" spans="2:28" x14ac:dyDescent="0.2">
      <c r="S18" s="42" t="s">
        <v>466</v>
      </c>
      <c r="AB18" s="127"/>
    </row>
    <row r="19" spans="2:28" x14ac:dyDescent="0.2">
      <c r="B19" s="123" t="s">
        <v>460</v>
      </c>
      <c r="S19" s="42" t="s">
        <v>458</v>
      </c>
      <c r="AB19" s="127"/>
    </row>
    <row r="20" spans="2:28" x14ac:dyDescent="0.2">
      <c r="B20" s="16" t="s">
        <v>14</v>
      </c>
      <c r="G20" s="63">
        <f>'IS Neu'!D12</f>
        <v>1114.2</v>
      </c>
      <c r="H20" s="63">
        <f>'IS Neu'!E12</f>
        <v>1206.9000000000001</v>
      </c>
      <c r="I20" s="63">
        <f>'IS Neu'!F12</f>
        <v>1474</v>
      </c>
      <c r="J20" s="63">
        <f>'IS Neu'!G12</f>
        <v>1707</v>
      </c>
      <c r="K20" s="63">
        <f>'IS Neu'!H12</f>
        <v>1847</v>
      </c>
      <c r="L20" s="63">
        <f>'IS Neu'!I12</f>
        <v>2240</v>
      </c>
      <c r="M20" s="108">
        <f>'IS Neu'!J12</f>
        <v>2800</v>
      </c>
      <c r="N20" s="108">
        <f>'IS Neu'!K12</f>
        <v>2930.0039999999995</v>
      </c>
      <c r="O20" s="108">
        <f>'IS Neu'!L12</f>
        <v>3662.0576999999998</v>
      </c>
      <c r="P20" s="108">
        <f>'IS Neu'!M12</f>
        <v>4236.7788287999992</v>
      </c>
      <c r="Q20" s="108">
        <f>'IS Neu'!N12</f>
        <v>5090.2078033799989</v>
      </c>
      <c r="S20" s="42"/>
      <c r="AB20" s="127"/>
    </row>
    <row r="21" spans="2:28" x14ac:dyDescent="0.2">
      <c r="B21" s="16" t="s">
        <v>260</v>
      </c>
      <c r="G21" s="63">
        <f>'BS Neu'!D23</f>
        <v>290.8</v>
      </c>
      <c r="H21" s="63">
        <f>'BS Neu'!E23</f>
        <v>282</v>
      </c>
      <c r="I21" s="63">
        <f>'BS Neu'!F23</f>
        <v>309</v>
      </c>
      <c r="J21" s="63">
        <f>'BS Neu'!G23</f>
        <v>323</v>
      </c>
      <c r="K21" s="63">
        <f>'BS Neu'!H23</f>
        <v>382</v>
      </c>
      <c r="L21" s="63">
        <f>'BS Neu'!I23</f>
        <v>426</v>
      </c>
      <c r="M21" s="106"/>
      <c r="N21" s="106"/>
      <c r="O21" s="106"/>
      <c r="P21" s="106"/>
      <c r="Q21" s="106"/>
      <c r="S21" s="42"/>
      <c r="AB21" s="127"/>
    </row>
    <row r="22" spans="2:28" x14ac:dyDescent="0.2">
      <c r="B22" s="16" t="s">
        <v>261</v>
      </c>
      <c r="G22" s="63">
        <f>G21/G20*365</f>
        <v>95.26296894632921</v>
      </c>
      <c r="H22" s="63">
        <f>H21/H20*365</f>
        <v>85.284613472532925</v>
      </c>
      <c r="I22" s="63">
        <f t="shared" ref="I22:L22" si="5">I21/I20*365</f>
        <v>76.516282225237447</v>
      </c>
      <c r="J22" s="63">
        <f t="shared" si="5"/>
        <v>69.065612185120088</v>
      </c>
      <c r="K22" s="63">
        <f t="shared" si="5"/>
        <v>75.489983757444506</v>
      </c>
      <c r="L22" s="63">
        <f t="shared" si="5"/>
        <v>69.415178571428569</v>
      </c>
      <c r="M22" s="108"/>
      <c r="N22" s="108"/>
      <c r="O22" s="108"/>
      <c r="P22" s="108"/>
      <c r="Q22" s="108"/>
      <c r="S22" s="44" t="s">
        <v>332</v>
      </c>
      <c r="AB22" s="127"/>
    </row>
    <row r="23" spans="2:28" x14ac:dyDescent="0.2">
      <c r="B23" s="20" t="s">
        <v>372</v>
      </c>
      <c r="G23" s="63"/>
      <c r="H23" s="63"/>
      <c r="I23" s="63"/>
      <c r="J23" s="63"/>
      <c r="K23" s="63"/>
      <c r="L23" s="63"/>
      <c r="M23" s="228">
        <f>M20*M24</f>
        <v>308</v>
      </c>
      <c r="N23" s="160">
        <f t="shared" ref="N23:Q23" si="6">N20*N24</f>
        <v>322.30043999999992</v>
      </c>
      <c r="O23" s="160">
        <f t="shared" si="6"/>
        <v>402.826347</v>
      </c>
      <c r="P23" s="160">
        <f t="shared" si="6"/>
        <v>466.0456711679999</v>
      </c>
      <c r="Q23" s="161">
        <f t="shared" si="6"/>
        <v>559.92285837179986</v>
      </c>
      <c r="S23" s="42" t="s">
        <v>333</v>
      </c>
      <c r="AB23" s="127"/>
    </row>
    <row r="24" spans="2:28" x14ac:dyDescent="0.2">
      <c r="B24" s="16" t="s">
        <v>234</v>
      </c>
      <c r="G24" s="69"/>
      <c r="H24" s="69"/>
      <c r="I24" s="69"/>
      <c r="J24" s="69"/>
      <c r="K24" s="69"/>
      <c r="L24" s="69"/>
      <c r="M24" s="231">
        <f>CHOOSE($V$7, M58,M59,M60,M61)</f>
        <v>0.11</v>
      </c>
      <c r="N24" s="231">
        <f>CHOOSE($V$7, N58,N59,N60,N61)</f>
        <v>0.11</v>
      </c>
      <c r="O24" s="231">
        <f>CHOOSE($V$7, O58,O59,O60,O61)</f>
        <v>0.11</v>
      </c>
      <c r="P24" s="231">
        <f>CHOOSE($V$7, P58,P59,P60,P61)</f>
        <v>0.11</v>
      </c>
      <c r="Q24" s="231">
        <f>CHOOSE($V$7, Q58,Q59,Q60,Q61)</f>
        <v>0.11</v>
      </c>
      <c r="S24" s="42" t="s">
        <v>334</v>
      </c>
      <c r="AB24" s="127"/>
    </row>
    <row r="25" spans="2:28" x14ac:dyDescent="0.2">
      <c r="B25" s="20" t="s">
        <v>461</v>
      </c>
      <c r="G25" s="63"/>
      <c r="H25" s="63"/>
      <c r="I25" s="63"/>
      <c r="J25" s="63"/>
      <c r="K25" s="63"/>
      <c r="L25" s="63"/>
      <c r="M25" s="228">
        <f>(M26/365)*M20</f>
        <v>421.91780821917808</v>
      </c>
      <c r="N25" s="160">
        <f>(N26/365)*N20</f>
        <v>441.50745205479444</v>
      </c>
      <c r="O25" s="160">
        <f>(O26/365)*O20</f>
        <v>551.81691369863006</v>
      </c>
      <c r="P25" s="160">
        <f>(P26/365)*P20</f>
        <v>638.41872762739706</v>
      </c>
      <c r="Q25" s="161">
        <f>(Q26/365)*Q20</f>
        <v>767.01761420794503</v>
      </c>
      <c r="S25" s="280" t="s">
        <v>335</v>
      </c>
      <c r="X25" s="16" t="s">
        <v>342</v>
      </c>
      <c r="AB25" s="127"/>
    </row>
    <row r="26" spans="2:28" x14ac:dyDescent="0.2">
      <c r="B26" s="16" t="s">
        <v>462</v>
      </c>
      <c r="G26" s="63"/>
      <c r="H26" s="63"/>
      <c r="I26" s="63"/>
      <c r="J26" s="63"/>
      <c r="K26" s="63"/>
      <c r="L26" s="63"/>
      <c r="M26" s="232">
        <f>CHOOSE($V$6,M46,M47,M48,M49)</f>
        <v>55</v>
      </c>
      <c r="N26" s="232">
        <f t="shared" ref="N26:Q26" si="7">CHOOSE($V$6,N46,N47,N48,N49)</f>
        <v>55</v>
      </c>
      <c r="O26" s="232">
        <f t="shared" si="7"/>
        <v>55</v>
      </c>
      <c r="P26" s="232">
        <f t="shared" si="7"/>
        <v>55</v>
      </c>
      <c r="Q26" s="232">
        <f t="shared" si="7"/>
        <v>55</v>
      </c>
      <c r="S26" s="42" t="s">
        <v>336</v>
      </c>
      <c r="AB26" s="127"/>
    </row>
    <row r="27" spans="2:28" x14ac:dyDescent="0.2">
      <c r="S27" s="42"/>
      <c r="AB27" s="127"/>
    </row>
    <row r="28" spans="2:28" x14ac:dyDescent="0.2">
      <c r="B28" s="123" t="s">
        <v>252</v>
      </c>
      <c r="S28" s="44" t="s">
        <v>337</v>
      </c>
      <c r="AB28" s="127"/>
    </row>
    <row r="29" spans="2:28" x14ac:dyDescent="0.2">
      <c r="B29" s="16" t="s">
        <v>253</v>
      </c>
      <c r="G29" s="63">
        <f t="shared" ref="G29:Q29" si="8">G15</f>
        <v>859.3</v>
      </c>
      <c r="H29" s="63">
        <f t="shared" si="8"/>
        <v>936.1</v>
      </c>
      <c r="I29" s="63">
        <f t="shared" si="8"/>
        <v>1144</v>
      </c>
      <c r="J29" s="63">
        <f t="shared" si="8"/>
        <v>1314</v>
      </c>
      <c r="K29" s="63">
        <f t="shared" si="8"/>
        <v>1427</v>
      </c>
      <c r="L29" s="63">
        <f t="shared" si="8"/>
        <v>1732</v>
      </c>
      <c r="M29" s="117">
        <f t="shared" si="8"/>
        <v>1959.9999999999998</v>
      </c>
      <c r="N29" s="117">
        <f t="shared" si="8"/>
        <v>2021.7027599999994</v>
      </c>
      <c r="O29" s="117">
        <f t="shared" si="8"/>
        <v>2490.1992359999999</v>
      </c>
      <c r="P29" s="117">
        <f t="shared" si="8"/>
        <v>2881.0096035839997</v>
      </c>
      <c r="Q29" s="117">
        <f t="shared" si="8"/>
        <v>3461.3413062983996</v>
      </c>
      <c r="S29" s="42" t="s">
        <v>330</v>
      </c>
      <c r="AB29" s="127"/>
    </row>
    <row r="30" spans="2:28" x14ac:dyDescent="0.2">
      <c r="B30" s="16" t="s">
        <v>263</v>
      </c>
      <c r="G30" s="63">
        <f>'BS Neu'!D50</f>
        <v>168.8</v>
      </c>
      <c r="H30" s="63">
        <f>'BS Neu'!E50</f>
        <v>164</v>
      </c>
      <c r="I30" s="63">
        <f>'BS Neu'!F50</f>
        <v>269</v>
      </c>
      <c r="J30" s="63">
        <f>'BS Neu'!G50</f>
        <v>379</v>
      </c>
      <c r="K30" s="63">
        <f>'BS Neu'!H50</f>
        <v>457</v>
      </c>
      <c r="L30" s="63">
        <f>'BS Neu'!I50</f>
        <v>546</v>
      </c>
      <c r="M30" s="106"/>
      <c r="N30" s="106"/>
      <c r="O30" s="106"/>
      <c r="P30" s="106"/>
      <c r="Q30" s="106"/>
      <c r="S30" s="282" t="s">
        <v>331</v>
      </c>
      <c r="T30" s="27"/>
      <c r="U30" s="27"/>
      <c r="V30" s="27"/>
      <c r="W30" s="27"/>
      <c r="X30" s="27"/>
      <c r="Y30" s="27"/>
      <c r="Z30" s="27"/>
      <c r="AA30" s="27"/>
      <c r="AB30" s="168"/>
    </row>
    <row r="31" spans="2:28" x14ac:dyDescent="0.2">
      <c r="B31" s="16" t="s">
        <v>265</v>
      </c>
      <c r="G31" s="63">
        <f t="shared" ref="G31:J31" si="9">G30/G29*365</f>
        <v>71.700221110205987</v>
      </c>
      <c r="H31" s="63">
        <f t="shared" si="9"/>
        <v>63.946159598333516</v>
      </c>
      <c r="I31" s="63">
        <f t="shared" si="9"/>
        <v>85.826048951048946</v>
      </c>
      <c r="J31" s="63">
        <f t="shared" si="9"/>
        <v>105.27777777777779</v>
      </c>
      <c r="K31" s="63">
        <f>K30/K29*365</f>
        <v>116.89208128941836</v>
      </c>
      <c r="L31" s="63">
        <f>L30/L29*365</f>
        <v>115.0635103926097</v>
      </c>
      <c r="M31" s="106"/>
      <c r="N31" s="106"/>
      <c r="O31" s="106"/>
      <c r="P31" s="106"/>
      <c r="Q31" s="106"/>
    </row>
    <row r="32" spans="2:28" x14ac:dyDescent="0.2">
      <c r="B32" s="20" t="s">
        <v>362</v>
      </c>
      <c r="G32" s="63">
        <f>G63</f>
        <v>317.10000000000002</v>
      </c>
      <c r="H32" s="63">
        <f t="shared" ref="H32:L32" si="10">H63</f>
        <v>416.8</v>
      </c>
      <c r="I32" s="63">
        <f t="shared" si="10"/>
        <v>500</v>
      </c>
      <c r="J32" s="63">
        <f t="shared" si="10"/>
        <v>488</v>
      </c>
      <c r="K32" s="63">
        <f t="shared" si="10"/>
        <v>578</v>
      </c>
      <c r="L32" s="63">
        <f t="shared" si="10"/>
        <v>776</v>
      </c>
      <c r="M32" s="230">
        <f>M33*M11</f>
        <v>868</v>
      </c>
      <c r="N32" s="230">
        <f>N33*N11</f>
        <v>908.30123999999978</v>
      </c>
      <c r="O32" s="230">
        <f>O33*O11</f>
        <v>1135.237887</v>
      </c>
      <c r="P32" s="230">
        <f>P33*P11</f>
        <v>1313.4014369279998</v>
      </c>
      <c r="Q32" s="230">
        <f>Q33*Q11</f>
        <v>1577.9644190477998</v>
      </c>
    </row>
    <row r="33" spans="2:29" x14ac:dyDescent="0.2">
      <c r="B33" s="16" t="s">
        <v>469</v>
      </c>
      <c r="G33" s="69">
        <f>G32/G11</f>
        <v>0.28459881529348413</v>
      </c>
      <c r="H33" s="69">
        <f t="shared" ref="H33:L33" si="11">H32/H11</f>
        <v>0.34534758472118648</v>
      </c>
      <c r="I33" s="69">
        <f t="shared" si="11"/>
        <v>0.33921302578018997</v>
      </c>
      <c r="J33" s="69">
        <f t="shared" si="11"/>
        <v>0.28588166373755125</v>
      </c>
      <c r="K33" s="69">
        <f t="shared" si="11"/>
        <v>0.31293990254466703</v>
      </c>
      <c r="L33" s="69">
        <f t="shared" si="11"/>
        <v>0.34642857142857142</v>
      </c>
      <c r="M33" s="229">
        <f>CHOOSE($V$9,M64,M65,M66,M67)</f>
        <v>0.31</v>
      </c>
      <c r="N33" s="229">
        <f t="shared" ref="N33:Q33" si="12">CHOOSE($V$9,N64,N65,N66,N67)</f>
        <v>0.31</v>
      </c>
      <c r="O33" s="229">
        <f t="shared" si="12"/>
        <v>0.31</v>
      </c>
      <c r="P33" s="229">
        <f t="shared" si="12"/>
        <v>0.31</v>
      </c>
      <c r="Q33" s="229">
        <f t="shared" si="12"/>
        <v>0.31</v>
      </c>
    </row>
    <row r="34" spans="2:29" x14ac:dyDescent="0.2">
      <c r="B34" s="20" t="s">
        <v>471</v>
      </c>
      <c r="G34" s="63"/>
      <c r="H34" s="63"/>
      <c r="I34" s="63"/>
      <c r="J34" s="63"/>
      <c r="K34" s="63"/>
      <c r="L34" s="69"/>
      <c r="M34" s="230">
        <f>M35/365*M12</f>
        <v>483.28767123287662</v>
      </c>
      <c r="N34" s="230">
        <f>N35/365*N12</f>
        <v>498.50205041095876</v>
      </c>
      <c r="O34" s="230">
        <f>O35/365*O12</f>
        <v>614.02172942465745</v>
      </c>
      <c r="P34" s="230">
        <f>P35/365*P12</f>
        <v>710.38592965084922</v>
      </c>
      <c r="Q34" s="230">
        <f>Q35/365*Q12</f>
        <v>853.48141799138614</v>
      </c>
    </row>
    <row r="35" spans="2:29" x14ac:dyDescent="0.2">
      <c r="B35" s="16" t="s">
        <v>470</v>
      </c>
      <c r="G35" s="63"/>
      <c r="H35" s="63"/>
      <c r="I35" s="63"/>
      <c r="J35" s="63"/>
      <c r="K35" s="63"/>
      <c r="L35" s="69"/>
      <c r="M35" s="118">
        <f>CHOOSE($V$8,M52,M53,M54,M55)</f>
        <v>90</v>
      </c>
      <c r="N35" s="118">
        <f>CHOOSE($V$8,N52,N53,N54,N55)</f>
        <v>90</v>
      </c>
      <c r="O35" s="118">
        <f>CHOOSE($V$8,O52,O53,O54,O55)</f>
        <v>90</v>
      </c>
      <c r="P35" s="118">
        <f>CHOOSE($V$8,P52,P53,P54,P55)</f>
        <v>90</v>
      </c>
      <c r="Q35" s="118">
        <f>CHOOSE($V$8,Q52,Q53,Q54,Q55)</f>
        <v>90</v>
      </c>
    </row>
    <row r="37" spans="2:29" x14ac:dyDescent="0.2">
      <c r="B37" s="16" t="s">
        <v>266</v>
      </c>
      <c r="G37" s="124">
        <f t="shared" ref="G37:L37" si="13">G17+G22-G31</f>
        <v>198.18336927217587</v>
      </c>
      <c r="H37" s="124">
        <f t="shared" si="13"/>
        <v>178.74738454399963</v>
      </c>
      <c r="I37" s="124">
        <f t="shared" si="13"/>
        <v>132.35107243502767</v>
      </c>
      <c r="J37" s="124">
        <f t="shared" si="13"/>
        <v>107.1211677406756</v>
      </c>
      <c r="K37" s="124">
        <f t="shared" si="13"/>
        <v>118.46125215267925</v>
      </c>
      <c r="L37" s="124">
        <f t="shared" si="13"/>
        <v>105.87303076542396</v>
      </c>
      <c r="M37" s="124">
        <f>M17+M26-M35</f>
        <v>105</v>
      </c>
      <c r="N37" s="124">
        <f>N17+N26-N35</f>
        <v>105</v>
      </c>
      <c r="O37" s="124">
        <f>O17+O26-O35</f>
        <v>105</v>
      </c>
      <c r="P37" s="124">
        <f>P17+P26-P35</f>
        <v>105</v>
      </c>
      <c r="Q37" s="124">
        <f>Q17+Q26-Q35</f>
        <v>105</v>
      </c>
      <c r="R37" s="171"/>
    </row>
    <row r="39" spans="2:29" x14ac:dyDescent="0.2">
      <c r="B39" s="172" t="s">
        <v>256</v>
      </c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7"/>
    </row>
    <row r="40" spans="2:29" x14ac:dyDescent="0.2">
      <c r="B40" s="171" t="s">
        <v>135</v>
      </c>
      <c r="G40" s="63"/>
      <c r="H40" s="63"/>
      <c r="I40" s="63"/>
      <c r="J40" s="63"/>
      <c r="K40" s="63"/>
      <c r="L40" s="63"/>
      <c r="M40" s="106">
        <v>160</v>
      </c>
      <c r="N40" s="106">
        <v>162</v>
      </c>
      <c r="O40" s="106">
        <v>164</v>
      </c>
      <c r="P40" s="106">
        <v>166</v>
      </c>
      <c r="Q40" s="140">
        <v>168</v>
      </c>
      <c r="S40" s="172" t="s">
        <v>762</v>
      </c>
      <c r="T40" s="166"/>
      <c r="U40" s="166"/>
      <c r="V40" s="166"/>
      <c r="W40" s="166"/>
      <c r="X40" s="166"/>
      <c r="Y40" s="166"/>
      <c r="Z40" s="166"/>
      <c r="AA40" s="166"/>
      <c r="AB40" s="166"/>
      <c r="AC40" s="167"/>
    </row>
    <row r="41" spans="2:29" x14ac:dyDescent="0.2">
      <c r="B41" s="171" t="s">
        <v>136</v>
      </c>
      <c r="G41" s="63"/>
      <c r="H41" s="63"/>
      <c r="I41" s="63"/>
      <c r="J41" s="63"/>
      <c r="K41" s="63"/>
      <c r="L41" s="63"/>
      <c r="M41" s="106">
        <v>150</v>
      </c>
      <c r="N41" s="106">
        <v>150</v>
      </c>
      <c r="O41" s="106">
        <v>150</v>
      </c>
      <c r="P41" s="106">
        <v>150</v>
      </c>
      <c r="Q41" s="140">
        <v>150</v>
      </c>
      <c r="S41" s="171" t="s">
        <v>763</v>
      </c>
      <c r="AC41" s="304"/>
    </row>
    <row r="42" spans="2:29" x14ac:dyDescent="0.2">
      <c r="B42" s="171" t="s">
        <v>137</v>
      </c>
      <c r="G42" s="63"/>
      <c r="H42" s="63"/>
      <c r="I42" s="63"/>
      <c r="J42" s="63"/>
      <c r="K42" s="63"/>
      <c r="L42" s="63"/>
      <c r="M42" s="106">
        <v>140</v>
      </c>
      <c r="N42" s="106">
        <v>140</v>
      </c>
      <c r="O42" s="106">
        <v>140</v>
      </c>
      <c r="P42" s="106">
        <v>140</v>
      </c>
      <c r="Q42" s="140">
        <v>140</v>
      </c>
      <c r="S42" s="171"/>
      <c r="AC42" s="304"/>
    </row>
    <row r="43" spans="2:29" x14ac:dyDescent="0.2">
      <c r="B43" s="282" t="s">
        <v>138</v>
      </c>
      <c r="C43" s="27"/>
      <c r="D43" s="27"/>
      <c r="E43" s="27"/>
      <c r="F43" s="27"/>
      <c r="G43" s="144"/>
      <c r="H43" s="144"/>
      <c r="I43" s="144"/>
      <c r="J43" s="144"/>
      <c r="K43" s="144"/>
      <c r="L43" s="144"/>
      <c r="M43" s="323">
        <v>145</v>
      </c>
      <c r="N43" s="323">
        <v>140</v>
      </c>
      <c r="O43" s="323">
        <v>135</v>
      </c>
      <c r="P43" s="323">
        <v>135</v>
      </c>
      <c r="Q43" s="324">
        <v>135</v>
      </c>
      <c r="S43" s="317" t="s">
        <v>462</v>
      </c>
      <c r="AC43" s="304"/>
    </row>
    <row r="44" spans="2:29" x14ac:dyDescent="0.2">
      <c r="S44" s="171" t="s">
        <v>764</v>
      </c>
      <c r="AC44" s="304"/>
    </row>
    <row r="45" spans="2:29" x14ac:dyDescent="0.2">
      <c r="B45" s="172" t="s">
        <v>257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7"/>
      <c r="S45" s="171"/>
      <c r="AC45" s="304"/>
    </row>
    <row r="46" spans="2:29" x14ac:dyDescent="0.2">
      <c r="B46" s="171" t="s">
        <v>135</v>
      </c>
      <c r="G46" s="63"/>
      <c r="H46" s="63"/>
      <c r="I46" s="63"/>
      <c r="J46" s="63"/>
      <c r="K46" s="63"/>
      <c r="L46" s="63"/>
      <c r="M46" s="106">
        <v>70</v>
      </c>
      <c r="N46" s="106">
        <v>70</v>
      </c>
      <c r="O46" s="106">
        <v>70</v>
      </c>
      <c r="P46" s="106">
        <v>70</v>
      </c>
      <c r="Q46" s="140">
        <v>70</v>
      </c>
      <c r="S46" s="317" t="s">
        <v>470</v>
      </c>
      <c r="AC46" s="304"/>
    </row>
    <row r="47" spans="2:29" x14ac:dyDescent="0.2">
      <c r="B47" s="171" t="s">
        <v>136</v>
      </c>
      <c r="G47" s="63"/>
      <c r="H47" s="63"/>
      <c r="I47" s="63"/>
      <c r="J47" s="63"/>
      <c r="K47" s="63"/>
      <c r="L47" s="63"/>
      <c r="M47" s="106">
        <v>65</v>
      </c>
      <c r="N47" s="106">
        <v>65</v>
      </c>
      <c r="O47" s="106">
        <v>65</v>
      </c>
      <c r="P47" s="106">
        <v>65</v>
      </c>
      <c r="Q47" s="140">
        <v>65</v>
      </c>
      <c r="S47" s="171" t="s">
        <v>765</v>
      </c>
      <c r="AC47" s="304"/>
    </row>
    <row r="48" spans="2:29" x14ac:dyDescent="0.2">
      <c r="B48" s="171" t="s">
        <v>137</v>
      </c>
      <c r="G48" s="63"/>
      <c r="H48" s="63"/>
      <c r="I48" s="63"/>
      <c r="J48" s="63"/>
      <c r="K48" s="63"/>
      <c r="L48" s="63"/>
      <c r="M48" s="106">
        <v>55</v>
      </c>
      <c r="N48" s="106">
        <v>55</v>
      </c>
      <c r="O48" s="106">
        <v>55</v>
      </c>
      <c r="P48" s="106">
        <v>55</v>
      </c>
      <c r="Q48" s="140">
        <v>55</v>
      </c>
      <c r="S48" s="171"/>
      <c r="AC48" s="304"/>
    </row>
    <row r="49" spans="2:29" x14ac:dyDescent="0.2">
      <c r="B49" s="282" t="s">
        <v>138</v>
      </c>
      <c r="C49" s="27"/>
      <c r="D49" s="27"/>
      <c r="E49" s="27"/>
      <c r="F49" s="27"/>
      <c r="G49" s="144"/>
      <c r="H49" s="144"/>
      <c r="I49" s="144"/>
      <c r="J49" s="144"/>
      <c r="K49" s="144"/>
      <c r="L49" s="144"/>
      <c r="M49" s="323">
        <v>50</v>
      </c>
      <c r="N49" s="323">
        <v>50</v>
      </c>
      <c r="O49" s="323">
        <v>50</v>
      </c>
      <c r="P49" s="323">
        <v>50</v>
      </c>
      <c r="Q49" s="324">
        <v>50</v>
      </c>
      <c r="S49" s="317" t="s">
        <v>766</v>
      </c>
      <c r="AC49" s="304"/>
    </row>
    <row r="50" spans="2:29" x14ac:dyDescent="0.2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S50" s="282" t="s">
        <v>767</v>
      </c>
      <c r="T50" s="27"/>
      <c r="U50" s="27"/>
      <c r="V50" s="27"/>
      <c r="W50" s="27"/>
      <c r="X50" s="27"/>
      <c r="Y50" s="27"/>
      <c r="Z50" s="27"/>
      <c r="AA50" s="27"/>
      <c r="AB50" s="27"/>
      <c r="AC50" s="306"/>
    </row>
    <row r="51" spans="2:29" x14ac:dyDescent="0.2">
      <c r="B51" s="172" t="s">
        <v>258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7"/>
    </row>
    <row r="52" spans="2:29" x14ac:dyDescent="0.2">
      <c r="B52" s="171" t="s">
        <v>135</v>
      </c>
      <c r="G52" s="63"/>
      <c r="H52" s="63"/>
      <c r="I52" s="63"/>
      <c r="J52" s="63"/>
      <c r="K52" s="63"/>
      <c r="L52" s="63"/>
      <c r="M52" s="106">
        <v>110</v>
      </c>
      <c r="N52" s="106">
        <v>110</v>
      </c>
      <c r="O52" s="106">
        <v>110</v>
      </c>
      <c r="P52" s="106">
        <v>110</v>
      </c>
      <c r="Q52" s="140">
        <v>110</v>
      </c>
    </row>
    <row r="53" spans="2:29" x14ac:dyDescent="0.2">
      <c r="B53" s="171" t="s">
        <v>136</v>
      </c>
      <c r="G53" s="63"/>
      <c r="H53" s="63"/>
      <c r="I53" s="63"/>
      <c r="J53" s="63"/>
      <c r="K53" s="63"/>
      <c r="L53" s="63"/>
      <c r="M53" s="106">
        <v>100</v>
      </c>
      <c r="N53" s="106">
        <v>100</v>
      </c>
      <c r="O53" s="106">
        <v>100</v>
      </c>
      <c r="P53" s="106">
        <v>100</v>
      </c>
      <c r="Q53" s="140">
        <v>100</v>
      </c>
      <c r="S53" s="20"/>
    </row>
    <row r="54" spans="2:29" x14ac:dyDescent="0.2">
      <c r="B54" s="171" t="s">
        <v>137</v>
      </c>
      <c r="G54" s="63"/>
      <c r="H54" s="63"/>
      <c r="I54" s="63"/>
      <c r="J54" s="63"/>
      <c r="K54" s="63"/>
      <c r="L54" s="63"/>
      <c r="M54" s="106">
        <v>90</v>
      </c>
      <c r="N54" s="106">
        <v>90</v>
      </c>
      <c r="O54" s="106">
        <v>90</v>
      </c>
      <c r="P54" s="106">
        <v>90</v>
      </c>
      <c r="Q54" s="140">
        <v>90</v>
      </c>
    </row>
    <row r="55" spans="2:29" x14ac:dyDescent="0.2">
      <c r="B55" s="282" t="s">
        <v>138</v>
      </c>
      <c r="C55" s="27"/>
      <c r="D55" s="27"/>
      <c r="E55" s="27"/>
      <c r="F55" s="27"/>
      <c r="G55" s="144"/>
      <c r="H55" s="144"/>
      <c r="I55" s="144"/>
      <c r="J55" s="144"/>
      <c r="K55" s="144"/>
      <c r="L55" s="144"/>
      <c r="M55" s="323">
        <v>80</v>
      </c>
      <c r="N55" s="323">
        <v>80</v>
      </c>
      <c r="O55" s="323">
        <v>80</v>
      </c>
      <c r="P55" s="323">
        <v>80</v>
      </c>
      <c r="Q55" s="324">
        <v>80</v>
      </c>
    </row>
    <row r="57" spans="2:29" x14ac:dyDescent="0.2">
      <c r="B57" s="172" t="s">
        <v>463</v>
      </c>
      <c r="C57" s="166"/>
      <c r="D57" s="166"/>
      <c r="E57" s="166"/>
      <c r="F57" s="166"/>
      <c r="G57" s="315"/>
      <c r="H57" s="315"/>
      <c r="I57" s="315"/>
      <c r="J57" s="315"/>
      <c r="K57" s="315"/>
      <c r="L57" s="315"/>
      <c r="M57" s="321"/>
      <c r="N57" s="321"/>
      <c r="O57" s="321"/>
      <c r="P57" s="321"/>
      <c r="Q57" s="322"/>
    </row>
    <row r="58" spans="2:29" x14ac:dyDescent="0.2">
      <c r="B58" s="171" t="s">
        <v>135</v>
      </c>
      <c r="G58" s="63"/>
      <c r="H58" s="63"/>
      <c r="I58" s="63"/>
      <c r="J58" s="63"/>
      <c r="K58" s="63"/>
      <c r="L58" s="63"/>
      <c r="M58" s="77">
        <v>0.13</v>
      </c>
      <c r="N58" s="77">
        <v>0.13</v>
      </c>
      <c r="O58" s="77">
        <v>0.13</v>
      </c>
      <c r="P58" s="77">
        <v>0.13</v>
      </c>
      <c r="Q58" s="142">
        <v>0.13</v>
      </c>
    </row>
    <row r="59" spans="2:29" x14ac:dyDescent="0.2">
      <c r="B59" s="171" t="s">
        <v>136</v>
      </c>
      <c r="G59" s="63"/>
      <c r="H59" s="63"/>
      <c r="I59" s="63"/>
      <c r="J59" s="63"/>
      <c r="K59" s="63"/>
      <c r="L59" s="63"/>
      <c r="M59" s="77">
        <v>0.12</v>
      </c>
      <c r="N59" s="77">
        <v>0.12</v>
      </c>
      <c r="O59" s="77">
        <v>0.12</v>
      </c>
      <c r="P59" s="77">
        <v>0.12</v>
      </c>
      <c r="Q59" s="142">
        <v>0.12</v>
      </c>
    </row>
    <row r="60" spans="2:29" x14ac:dyDescent="0.2">
      <c r="B60" s="171" t="s">
        <v>137</v>
      </c>
      <c r="G60" s="63"/>
      <c r="H60" s="63"/>
      <c r="I60" s="63"/>
      <c r="J60" s="63"/>
      <c r="K60" s="63"/>
      <c r="L60" s="63"/>
      <c r="M60" s="77">
        <v>0.11</v>
      </c>
      <c r="N60" s="77">
        <v>0.11</v>
      </c>
      <c r="O60" s="77">
        <v>0.11</v>
      </c>
      <c r="P60" s="77">
        <v>0.11</v>
      </c>
      <c r="Q60" s="142">
        <v>0.11</v>
      </c>
    </row>
    <row r="61" spans="2:29" x14ac:dyDescent="0.2">
      <c r="B61" s="282" t="s">
        <v>138</v>
      </c>
      <c r="C61" s="27"/>
      <c r="D61" s="27"/>
      <c r="E61" s="27"/>
      <c r="F61" s="27"/>
      <c r="G61" s="144"/>
      <c r="H61" s="144"/>
      <c r="I61" s="144"/>
      <c r="J61" s="144"/>
      <c r="K61" s="144"/>
      <c r="L61" s="144"/>
      <c r="M61" s="319">
        <v>0.1</v>
      </c>
      <c r="N61" s="319">
        <v>0.1</v>
      </c>
      <c r="O61" s="319">
        <v>0.1</v>
      </c>
      <c r="P61" s="319">
        <v>0.1</v>
      </c>
      <c r="Q61" s="320">
        <v>0.1</v>
      </c>
    </row>
    <row r="62" spans="2:29" x14ac:dyDescent="0.2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2:29" x14ac:dyDescent="0.2">
      <c r="B63" s="172" t="s">
        <v>464</v>
      </c>
      <c r="C63" s="166"/>
      <c r="D63" s="166"/>
      <c r="E63" s="166"/>
      <c r="F63" s="166"/>
      <c r="G63" s="315">
        <f>'BS Neu'!D51</f>
        <v>317.10000000000002</v>
      </c>
      <c r="H63" s="315">
        <f>'BS Neu'!E51</f>
        <v>416.8</v>
      </c>
      <c r="I63" s="315">
        <f>'BS Neu'!F51</f>
        <v>500</v>
      </c>
      <c r="J63" s="315">
        <f>'BS Neu'!G51</f>
        <v>488</v>
      </c>
      <c r="K63" s="315">
        <f>'BS Neu'!H51</f>
        <v>578</v>
      </c>
      <c r="L63" s="315">
        <f>'BS Neu'!I51</f>
        <v>776</v>
      </c>
      <c r="M63" s="321"/>
      <c r="N63" s="321"/>
      <c r="O63" s="321"/>
      <c r="P63" s="321"/>
      <c r="Q63" s="322"/>
    </row>
    <row r="64" spans="2:29" x14ac:dyDescent="0.2">
      <c r="B64" s="171" t="s">
        <v>135</v>
      </c>
      <c r="G64" s="157">
        <f>G63/G11</f>
        <v>0.28459881529348413</v>
      </c>
      <c r="H64" s="157">
        <f t="shared" ref="H64:L64" si="14">H63/H11</f>
        <v>0.34534758472118648</v>
      </c>
      <c r="I64" s="157">
        <f t="shared" si="14"/>
        <v>0.33921302578018997</v>
      </c>
      <c r="J64" s="157">
        <f t="shared" si="14"/>
        <v>0.28588166373755125</v>
      </c>
      <c r="K64" s="157">
        <f t="shared" si="14"/>
        <v>0.31293990254466703</v>
      </c>
      <c r="L64" s="157">
        <f t="shared" si="14"/>
        <v>0.34642857142857142</v>
      </c>
      <c r="M64" s="77">
        <v>0.35</v>
      </c>
      <c r="N64" s="77">
        <v>0.35</v>
      </c>
      <c r="O64" s="77">
        <v>0.35</v>
      </c>
      <c r="P64" s="77">
        <v>0.35</v>
      </c>
      <c r="Q64" s="142">
        <v>0.35</v>
      </c>
    </row>
    <row r="65" spans="2:17" x14ac:dyDescent="0.2">
      <c r="B65" s="171" t="s">
        <v>136</v>
      </c>
      <c r="G65" s="63"/>
      <c r="H65" s="63"/>
      <c r="I65" s="63"/>
      <c r="J65" s="63"/>
      <c r="K65" s="63"/>
      <c r="L65" s="63"/>
      <c r="M65" s="77">
        <v>0.33</v>
      </c>
      <c r="N65" s="77">
        <v>0.33</v>
      </c>
      <c r="O65" s="77">
        <v>0.33</v>
      </c>
      <c r="P65" s="77">
        <v>0.33</v>
      </c>
      <c r="Q65" s="142">
        <v>0.33</v>
      </c>
    </row>
    <row r="66" spans="2:17" x14ac:dyDescent="0.2">
      <c r="B66" s="171" t="s">
        <v>137</v>
      </c>
      <c r="G66" s="63"/>
      <c r="H66" s="63"/>
      <c r="I66" s="63"/>
      <c r="J66" s="63"/>
      <c r="K66" s="63"/>
      <c r="L66" s="63"/>
      <c r="M66" s="77">
        <v>0.31</v>
      </c>
      <c r="N66" s="77">
        <v>0.31</v>
      </c>
      <c r="O66" s="77">
        <v>0.31</v>
      </c>
      <c r="P66" s="77">
        <v>0.31</v>
      </c>
      <c r="Q66" s="142">
        <v>0.31</v>
      </c>
    </row>
    <row r="67" spans="2:17" x14ac:dyDescent="0.2">
      <c r="B67" s="282" t="s">
        <v>138</v>
      </c>
      <c r="C67" s="27"/>
      <c r="D67" s="27"/>
      <c r="E67" s="27"/>
      <c r="F67" s="27"/>
      <c r="G67" s="144"/>
      <c r="H67" s="144"/>
      <c r="I67" s="144"/>
      <c r="J67" s="144"/>
      <c r="K67" s="144"/>
      <c r="L67" s="144"/>
      <c r="M67" s="319">
        <v>0.3</v>
      </c>
      <c r="N67" s="319">
        <v>0.3</v>
      </c>
      <c r="O67" s="319">
        <v>0.3</v>
      </c>
      <c r="P67" s="319">
        <v>0.3</v>
      </c>
      <c r="Q67" s="320">
        <v>0.3</v>
      </c>
    </row>
    <row r="69" spans="2:17" x14ac:dyDescent="0.2">
      <c r="B69" s="172" t="s">
        <v>324</v>
      </c>
      <c r="C69" s="166"/>
      <c r="D69" s="166"/>
      <c r="E69" s="166"/>
      <c r="F69" s="166"/>
      <c r="G69" s="315">
        <f>G11</f>
        <v>1114.2</v>
      </c>
      <c r="H69" s="315">
        <f t="shared" ref="H69:Q69" si="15">H11</f>
        <v>1206.9000000000001</v>
      </c>
      <c r="I69" s="315">
        <f t="shared" si="15"/>
        <v>1474</v>
      </c>
      <c r="J69" s="315">
        <f t="shared" si="15"/>
        <v>1707</v>
      </c>
      <c r="K69" s="315">
        <f t="shared" si="15"/>
        <v>1847</v>
      </c>
      <c r="L69" s="315">
        <f t="shared" si="15"/>
        <v>2240</v>
      </c>
      <c r="M69" s="315">
        <f>M11</f>
        <v>2800</v>
      </c>
      <c r="N69" s="315">
        <f t="shared" si="15"/>
        <v>2930.0039999999995</v>
      </c>
      <c r="O69" s="315">
        <f t="shared" si="15"/>
        <v>3662.0576999999998</v>
      </c>
      <c r="P69" s="315">
        <f t="shared" si="15"/>
        <v>4236.7788287999992</v>
      </c>
      <c r="Q69" s="316">
        <f t="shared" si="15"/>
        <v>5090.2078033799989</v>
      </c>
    </row>
    <row r="70" spans="2:17" x14ac:dyDescent="0.2">
      <c r="B70" s="171" t="s">
        <v>234</v>
      </c>
      <c r="G70" s="246">
        <f>'BS Neu'!D25</f>
        <v>58.100000000000009</v>
      </c>
      <c r="H70" s="246">
        <f>'BS Neu'!E25</f>
        <v>98.6</v>
      </c>
      <c r="I70" s="246">
        <f>'BS Neu'!F25</f>
        <v>177</v>
      </c>
      <c r="J70" s="246">
        <f>'BS Neu'!G25</f>
        <v>163</v>
      </c>
      <c r="K70" s="246">
        <f>'BS Neu'!H25</f>
        <v>150</v>
      </c>
      <c r="L70" s="246">
        <f>'BS Neu'!I25</f>
        <v>143</v>
      </c>
      <c r="M70" s="228">
        <f>CHOOSE($V$11, M71,M72,M73)*M69</f>
        <v>280</v>
      </c>
      <c r="N70" s="160">
        <f t="shared" ref="N70:Q70" si="16">CHOOSE($V$11, N71,N72,N73)*N69</f>
        <v>293.00039999999996</v>
      </c>
      <c r="O70" s="160">
        <f t="shared" si="16"/>
        <v>366.20577000000003</v>
      </c>
      <c r="P70" s="160">
        <f t="shared" si="16"/>
        <v>423.67788287999997</v>
      </c>
      <c r="Q70" s="161">
        <f t="shared" si="16"/>
        <v>509.02078033799989</v>
      </c>
    </row>
    <row r="71" spans="2:17" x14ac:dyDescent="0.2">
      <c r="B71" s="317" t="s">
        <v>457</v>
      </c>
      <c r="G71" s="157">
        <f>G70/G69</f>
        <v>5.2145036797702396E-2</v>
      </c>
      <c r="H71" s="157">
        <f t="shared" ref="H71:L71" si="17">H70/H69</f>
        <v>8.1696909437401599E-2</v>
      </c>
      <c r="I71" s="157">
        <f t="shared" si="17"/>
        <v>0.12008141112618724</v>
      </c>
      <c r="J71" s="157">
        <f t="shared" si="17"/>
        <v>9.5489162272993561E-2</v>
      </c>
      <c r="K71" s="157">
        <f t="shared" si="17"/>
        <v>8.1212777476989712E-2</v>
      </c>
      <c r="L71" s="157">
        <f t="shared" si="17"/>
        <v>6.383928571428571E-2</v>
      </c>
      <c r="M71" s="227">
        <v>0.06</v>
      </c>
      <c r="N71" s="227">
        <v>0.06</v>
      </c>
      <c r="O71" s="227">
        <v>0.06</v>
      </c>
      <c r="P71" s="227">
        <v>0.06</v>
      </c>
      <c r="Q71" s="318">
        <v>0.06</v>
      </c>
    </row>
    <row r="72" spans="2:17" x14ac:dyDescent="0.2">
      <c r="B72" s="317" t="s">
        <v>456</v>
      </c>
      <c r="G72" s="63"/>
      <c r="H72" s="63"/>
      <c r="I72" s="63"/>
      <c r="J72" s="63"/>
      <c r="K72" s="63"/>
      <c r="L72" s="63"/>
      <c r="M72" s="77">
        <v>0.08</v>
      </c>
      <c r="N72" s="77">
        <v>0.08</v>
      </c>
      <c r="O72" s="77">
        <v>0.08</v>
      </c>
      <c r="P72" s="77">
        <v>0.08</v>
      </c>
      <c r="Q72" s="142">
        <v>0.08</v>
      </c>
    </row>
    <row r="73" spans="2:17" x14ac:dyDescent="0.2">
      <c r="B73" s="202" t="s">
        <v>341</v>
      </c>
      <c r="C73" s="27"/>
      <c r="D73" s="27"/>
      <c r="E73" s="27"/>
      <c r="F73" s="27"/>
      <c r="G73" s="144"/>
      <c r="H73" s="144"/>
      <c r="I73" s="144"/>
      <c r="J73" s="144"/>
      <c r="K73" s="144"/>
      <c r="L73" s="144"/>
      <c r="M73" s="319">
        <v>0.1</v>
      </c>
      <c r="N73" s="319">
        <v>0.1</v>
      </c>
      <c r="O73" s="319">
        <v>0.1</v>
      </c>
      <c r="P73" s="319">
        <v>0.1</v>
      </c>
      <c r="Q73" s="320">
        <v>0.1</v>
      </c>
    </row>
    <row r="75" spans="2:17" x14ac:dyDescent="0.2">
      <c r="B75" s="16" t="s">
        <v>586</v>
      </c>
      <c r="G75" s="16">
        <f>'BS Neu'!D24-'BS Neu'!D51</f>
        <v>-151.20000000000002</v>
      </c>
      <c r="H75" s="16">
        <f>'BS Neu'!E24-'BS Neu'!E51</f>
        <v>-212.4</v>
      </c>
      <c r="I75" s="16">
        <f>'BS Neu'!F24-'BS Neu'!F51</f>
        <v>-330</v>
      </c>
      <c r="J75" s="16">
        <f>'BS Neu'!G24-'BS Neu'!G51</f>
        <v>-306</v>
      </c>
      <c r="K75" s="16">
        <f>'BS Neu'!H24-'BS Neu'!H51</f>
        <v>-382</v>
      </c>
      <c r="L75" s="16">
        <f>'BS Neu'!I24-'BS Neu'!I51</f>
        <v>-391</v>
      </c>
      <c r="M75" s="16">
        <f>M23-M32</f>
        <v>-560</v>
      </c>
      <c r="N75" s="16">
        <f t="shared" ref="N75:Q75" si="18">N23-N32</f>
        <v>-586.0007999999998</v>
      </c>
      <c r="O75" s="16">
        <f t="shared" si="18"/>
        <v>-732.41154000000006</v>
      </c>
      <c r="P75" s="16">
        <f t="shared" si="18"/>
        <v>-847.35576575999994</v>
      </c>
      <c r="Q75" s="16">
        <f t="shared" si="18"/>
        <v>-1018.0415606759999</v>
      </c>
    </row>
    <row r="77" spans="2:17" x14ac:dyDescent="0.2">
      <c r="B77" s="172" t="s">
        <v>326</v>
      </c>
      <c r="C77" s="166"/>
      <c r="D77" s="166"/>
      <c r="E77" s="166"/>
      <c r="F77" s="166"/>
      <c r="G77" s="325">
        <f>'BS Neu'!D53</f>
        <v>67.099999999999994</v>
      </c>
      <c r="H77" s="325">
        <f>'BS Neu'!E53</f>
        <v>86.9</v>
      </c>
      <c r="I77" s="325">
        <f>'BS Neu'!F53</f>
        <v>94</v>
      </c>
      <c r="J77" s="325">
        <f>'BS Neu'!G53</f>
        <v>101</v>
      </c>
      <c r="K77" s="325">
        <f>'BS Neu'!H53</f>
        <v>136</v>
      </c>
      <c r="L77" s="325">
        <f>'BS Neu'!I53</f>
        <v>151</v>
      </c>
      <c r="M77" s="335">
        <f>M78*M12</f>
        <v>176.39999999999998</v>
      </c>
      <c r="N77" s="335">
        <f>N78*N12</f>
        <v>181.95324839999995</v>
      </c>
      <c r="O77" s="335">
        <f>O78*O12</f>
        <v>224.11793123999999</v>
      </c>
      <c r="P77" s="335">
        <f>P78*P12</f>
        <v>259.29086432255997</v>
      </c>
      <c r="Q77" s="335">
        <f>Q78*Q12</f>
        <v>311.52071756685592</v>
      </c>
    </row>
    <row r="78" spans="2:17" x14ac:dyDescent="0.2">
      <c r="B78" s="171" t="s">
        <v>340</v>
      </c>
      <c r="G78" s="326">
        <f t="shared" ref="G78:L78" si="19">G77/G12</f>
        <v>7.808681484929593E-2</v>
      </c>
      <c r="H78" s="326">
        <f t="shared" si="19"/>
        <v>9.2831962397179793E-2</v>
      </c>
      <c r="I78" s="326">
        <f t="shared" si="19"/>
        <v>8.2167832167832161E-2</v>
      </c>
      <c r="J78" s="326">
        <f t="shared" si="19"/>
        <v>7.6864535768645353E-2</v>
      </c>
      <c r="K78" s="326">
        <f t="shared" si="19"/>
        <v>9.5304835318850742E-2</v>
      </c>
      <c r="L78" s="326">
        <f t="shared" si="19"/>
        <v>8.7182448036951507E-2</v>
      </c>
      <c r="M78" s="336">
        <f>CHOOSE($V$12,M79,M80,M81)</f>
        <v>0.09</v>
      </c>
      <c r="N78" s="336">
        <f>CHOOSE($V$12,N79,N80,N81)</f>
        <v>0.09</v>
      </c>
      <c r="O78" s="336">
        <f>CHOOSE($V$12,O79,O80,O81)</f>
        <v>0.09</v>
      </c>
      <c r="P78" s="336">
        <f>CHOOSE($V$12,P79,P80,P81)</f>
        <v>0.09</v>
      </c>
      <c r="Q78" s="336">
        <f>CHOOSE($V$12,Q79,Q80,Q81)</f>
        <v>0.09</v>
      </c>
    </row>
    <row r="79" spans="2:17" x14ac:dyDescent="0.2">
      <c r="B79" s="171" t="s">
        <v>338</v>
      </c>
      <c r="M79" s="337">
        <f>L78*(1.038)</f>
        <v>9.0495381062355662E-2</v>
      </c>
      <c r="N79" s="337">
        <f>M79*(1.038)</f>
        <v>9.3934205542725177E-2</v>
      </c>
      <c r="O79" s="337">
        <f t="shared" ref="O79:Q79" si="20">N79*(1.038)</f>
        <v>9.7503705353348735E-2</v>
      </c>
      <c r="P79" s="337">
        <f t="shared" si="20"/>
        <v>0.10120884615677599</v>
      </c>
      <c r="Q79" s="337">
        <f t="shared" si="20"/>
        <v>0.10505478231073348</v>
      </c>
    </row>
    <row r="80" spans="2:17" x14ac:dyDescent="0.2">
      <c r="B80" s="171" t="s">
        <v>339</v>
      </c>
      <c r="M80" s="337">
        <f>L78*(0.975)</f>
        <v>8.5002886836027719E-2</v>
      </c>
      <c r="N80" s="337">
        <f>M80*0.975</f>
        <v>8.2877814665127031E-2</v>
      </c>
      <c r="O80" s="337">
        <f t="shared" ref="O80:Q80" si="21">N80*0.975</f>
        <v>8.0805869298498853E-2</v>
      </c>
      <c r="P80" s="337">
        <f t="shared" si="21"/>
        <v>7.8785722566036373E-2</v>
      </c>
      <c r="Q80" s="337">
        <f t="shared" si="21"/>
        <v>7.6816079501885459E-2</v>
      </c>
    </row>
    <row r="81" spans="2:17" x14ac:dyDescent="0.2">
      <c r="B81" s="282" t="s">
        <v>341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337">
        <v>0.09</v>
      </c>
      <c r="N81" s="337">
        <v>0.09</v>
      </c>
      <c r="O81" s="337">
        <v>0.09</v>
      </c>
      <c r="P81" s="337">
        <v>0.09</v>
      </c>
      <c r="Q81" s="337">
        <v>0.09</v>
      </c>
    </row>
    <row r="82" spans="2:17" x14ac:dyDescent="0.2">
      <c r="M82" s="281"/>
      <c r="N82" s="281"/>
      <c r="O82" s="281"/>
      <c r="P82" s="281"/>
      <c r="Q82" s="281"/>
    </row>
    <row r="83" spans="2:17" x14ac:dyDescent="0.2">
      <c r="B83" s="172" t="s">
        <v>327</v>
      </c>
      <c r="C83" s="166"/>
      <c r="D83" s="166"/>
      <c r="E83" s="166"/>
      <c r="F83" s="166"/>
      <c r="G83" s="166">
        <f>'BS Neu'!D44</f>
        <v>24.2</v>
      </c>
      <c r="H83" s="166">
        <f ca="1">'BS Neu'!E44</f>
        <v>25.1</v>
      </c>
      <c r="I83" s="166">
        <f ca="1">'BS Neu'!F44</f>
        <v>22</v>
      </c>
      <c r="J83" s="166">
        <f ca="1">'BS Neu'!G44</f>
        <v>25</v>
      </c>
      <c r="K83" s="166">
        <f ca="1">'BS Neu'!H44</f>
        <v>24</v>
      </c>
      <c r="L83" s="166">
        <f ca="1">'BS Neu'!I44</f>
        <v>59</v>
      </c>
      <c r="M83" s="321">
        <f ca="1">M84*M12</f>
        <v>45.673906569541103</v>
      </c>
      <c r="N83" s="321">
        <f ca="1">N84*N12</f>
        <v>49.994134301821873</v>
      </c>
      <c r="O83" s="321">
        <f ca="1">O84*O12</f>
        <v>68.145468359143379</v>
      </c>
      <c r="P83" s="321">
        <f ca="1">P84*P12</f>
        <v>72.406693676944514</v>
      </c>
      <c r="Q83" s="322">
        <f ca="1">Q84*Q12</f>
        <v>89.102537214933193</v>
      </c>
    </row>
    <row r="84" spans="2:17" x14ac:dyDescent="0.2">
      <c r="B84" s="171" t="s">
        <v>340</v>
      </c>
      <c r="G84" s="326">
        <f>G83/G12</f>
        <v>2.8162457814500174E-2</v>
      </c>
      <c r="H84" s="326">
        <f t="shared" ref="H84:L84" ca="1" si="22">H83/H12</f>
        <v>2.6813374639461596E-2</v>
      </c>
      <c r="I84" s="326">
        <f t="shared" ca="1" si="22"/>
        <v>1.9230769230769232E-2</v>
      </c>
      <c r="J84" s="326">
        <f t="shared" ca="1" si="22"/>
        <v>1.9025875190258751E-2</v>
      </c>
      <c r="K84" s="326">
        <f t="shared" ca="1" si="22"/>
        <v>1.6818500350385426E-2</v>
      </c>
      <c r="L84" s="326">
        <f t="shared" ca="1" si="22"/>
        <v>3.4064665127020784E-2</v>
      </c>
      <c r="M84" s="327">
        <f ca="1">CHOOSE($V$13, M85,M86)</f>
        <v>2.3303013555888319E-2</v>
      </c>
      <c r="N84" s="327">
        <f ca="1">CHOOSE($V$13, N85,N86)</f>
        <v>2.4728726344431507E-2</v>
      </c>
      <c r="O84" s="327">
        <f ca="1">CHOOSE($V$13, O85,O86)</f>
        <v>2.736546834244687E-2</v>
      </c>
      <c r="P84" s="327">
        <f ca="1">CHOOSE($V$13, P85,P86)</f>
        <v>2.5132402747588895E-2</v>
      </c>
      <c r="Q84" s="328">
        <f ca="1">CHOOSE($V$13, Q85,Q86)</f>
        <v>2.5742199144822425E-2</v>
      </c>
    </row>
    <row r="85" spans="2:17" x14ac:dyDescent="0.2">
      <c r="B85" s="171" t="s">
        <v>338</v>
      </c>
      <c r="M85" s="327">
        <v>0.03</v>
      </c>
      <c r="N85" s="327">
        <v>0.03</v>
      </c>
      <c r="O85" s="327">
        <v>0.03</v>
      </c>
      <c r="P85" s="327">
        <v>0.03</v>
      </c>
      <c r="Q85" s="328">
        <v>0.03</v>
      </c>
    </row>
    <row r="86" spans="2:17" x14ac:dyDescent="0.2">
      <c r="B86" s="282" t="s">
        <v>339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329">
        <f ca="1">AVERAGE(J84:L84)</f>
        <v>2.3303013555888319E-2</v>
      </c>
      <c r="N86" s="329">
        <f ca="1">AVERAGE(K84:L84,M86)</f>
        <v>2.4728726344431507E-2</v>
      </c>
      <c r="O86" s="329">
        <f ca="1">AVERAGE(L84,M86:N86)</f>
        <v>2.736546834244687E-2</v>
      </c>
      <c r="P86" s="329">
        <f ca="1">AVERAGE(M86:O86)</f>
        <v>2.5132402747588895E-2</v>
      </c>
      <c r="Q86" s="330">
        <f ca="1">AVERAGE(N86:P86)</f>
        <v>2.5742199144822425E-2</v>
      </c>
    </row>
    <row r="91" spans="2:17" x14ac:dyDescent="0.2">
      <c r="B91" s="172" t="s">
        <v>584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7"/>
    </row>
    <row r="92" spans="2:17" x14ac:dyDescent="0.2">
      <c r="B92" s="170" t="s">
        <v>99</v>
      </c>
      <c r="G92" s="16">
        <f>'CF Neu '!G60</f>
        <v>-0.4</v>
      </c>
      <c r="H92" s="16">
        <f>'CF Neu '!H60</f>
        <v>46.4</v>
      </c>
      <c r="I92" s="16">
        <f>'CF Neu '!I60</f>
        <v>31</v>
      </c>
      <c r="J92" s="16">
        <f>'CF Neu '!J60</f>
        <v>-22</v>
      </c>
      <c r="K92" s="16">
        <f>'CF Neu '!K60</f>
        <v>45</v>
      </c>
      <c r="L92" s="16">
        <f>'CF Neu '!L60</f>
        <v>-5</v>
      </c>
      <c r="M92" s="16">
        <f ca="1">'Debt &amp; Cash'!K145</f>
        <v>165</v>
      </c>
      <c r="N92" s="16">
        <f>'Debt &amp; Cash'!L145</f>
        <v>39.001199999999812</v>
      </c>
      <c r="O92" s="16">
        <f>'Debt &amp; Cash'!M145</f>
        <v>219.61611000000005</v>
      </c>
      <c r="P92" s="16">
        <f>'Debt &amp; Cash'!N145</f>
        <v>172.41633863999982</v>
      </c>
      <c r="Q92" s="304">
        <f>'Debt &amp; Cash'!O145</f>
        <v>256.028692374</v>
      </c>
    </row>
    <row r="93" spans="2:17" x14ac:dyDescent="0.2">
      <c r="B93" s="170" t="s">
        <v>100</v>
      </c>
      <c r="G93" s="16" cm="1">
        <f t="array" ref="G93:L93">'CF Neu '!G61:L61</f>
        <v>-17.8</v>
      </c>
      <c r="H93" s="16">
        <v>5.3</v>
      </c>
      <c r="I93" s="16">
        <v>-44</v>
      </c>
      <c r="J93" s="16">
        <v>-75</v>
      </c>
      <c r="K93" s="16">
        <v>-128</v>
      </c>
      <c r="L93" s="16">
        <v>-103</v>
      </c>
      <c r="M93" s="16">
        <f>L16-M16</f>
        <v>-32.780821917808112</v>
      </c>
      <c r="N93" s="16">
        <f t="shared" ref="N93:Q93" si="23">M16-N16</f>
        <v>-23.666812054794377</v>
      </c>
      <c r="O93" s="16">
        <f t="shared" si="23"/>
        <v>-179.69727846575358</v>
      </c>
      <c r="P93" s="16">
        <f t="shared" si="23"/>
        <v>-149.89986701852047</v>
      </c>
      <c r="Q93" s="304">
        <f t="shared" si="23"/>
        <v>-222.5929818630575</v>
      </c>
    </row>
    <row r="94" spans="2:17" x14ac:dyDescent="0.2">
      <c r="B94" s="170" t="s">
        <v>101</v>
      </c>
      <c r="G94" s="16" cm="1">
        <f t="array" ref="G94:L94">'CF Neu '!G62:L62</f>
        <v>-89.4</v>
      </c>
      <c r="H94" s="16">
        <v>61.4</v>
      </c>
      <c r="I94" s="16">
        <v>111</v>
      </c>
      <c r="J94" s="16">
        <v>-25</v>
      </c>
      <c r="K94" s="16">
        <v>65</v>
      </c>
      <c r="L94" s="16">
        <v>34</v>
      </c>
      <c r="M94" s="16">
        <f>L75-M75</f>
        <v>169</v>
      </c>
      <c r="N94" s="16">
        <f>M75-N75</f>
        <v>26.000799999999799</v>
      </c>
      <c r="O94" s="16">
        <f t="shared" ref="O94:Q94" si="24">N75-O75</f>
        <v>146.41074000000026</v>
      </c>
      <c r="P94" s="16">
        <f t="shared" si="24"/>
        <v>114.94422575999988</v>
      </c>
      <c r="Q94" s="304">
        <f t="shared" si="24"/>
        <v>170.68579491599996</v>
      </c>
    </row>
    <row r="95" spans="2:17" x14ac:dyDescent="0.2">
      <c r="B95" s="170" t="s">
        <v>102</v>
      </c>
      <c r="G95" s="16" cm="1">
        <f t="array" ref="G95:L95">'CF Neu '!G63:L63</f>
        <v>56.4</v>
      </c>
      <c r="H95" s="16">
        <v>5.3</v>
      </c>
      <c r="I95" s="16">
        <v>-22</v>
      </c>
      <c r="J95" s="16">
        <v>-13</v>
      </c>
      <c r="K95" s="16">
        <v>-66</v>
      </c>
      <c r="L95" s="16">
        <v>-11</v>
      </c>
      <c r="M95" s="16">
        <f>L21-M25</f>
        <v>4.0821917808219155</v>
      </c>
      <c r="N95" s="16">
        <f>M25-N25</f>
        <v>-19.589643835616357</v>
      </c>
      <c r="O95" s="16">
        <f t="shared" ref="O95:Q95" si="25">N25-O25</f>
        <v>-110.30946164383562</v>
      </c>
      <c r="P95" s="16">
        <f t="shared" si="25"/>
        <v>-86.601813928767001</v>
      </c>
      <c r="Q95" s="304">
        <f t="shared" si="25"/>
        <v>-128.59888658054797</v>
      </c>
    </row>
    <row r="96" spans="2:17" x14ac:dyDescent="0.2">
      <c r="B96" s="170" t="s">
        <v>103</v>
      </c>
      <c r="G96" s="16" cm="1">
        <f t="array" ref="G96:L96">'CF Neu '!G64:L64</f>
        <v>-13.4</v>
      </c>
      <c r="H96" s="16">
        <v>-8.6</v>
      </c>
      <c r="I96" s="16">
        <v>107</v>
      </c>
      <c r="J96" s="16">
        <v>110</v>
      </c>
      <c r="K96" s="16">
        <v>78</v>
      </c>
      <c r="L96" s="16">
        <v>69</v>
      </c>
      <c r="M96" s="16">
        <f>M34-L30</f>
        <v>-62.712328767123381</v>
      </c>
      <c r="N96" s="16">
        <f>N34-M34</f>
        <v>15.21437917808214</v>
      </c>
      <c r="O96" s="16">
        <f t="shared" ref="O96:Q96" si="26">O34-N34</f>
        <v>115.51967901369869</v>
      </c>
      <c r="P96" s="16">
        <f t="shared" si="26"/>
        <v>96.36420022619177</v>
      </c>
      <c r="Q96" s="304">
        <f t="shared" si="26"/>
        <v>143.09548834053692</v>
      </c>
    </row>
    <row r="97" spans="2:22" x14ac:dyDescent="0.2">
      <c r="B97" s="170" t="s">
        <v>104</v>
      </c>
      <c r="G97" s="16" cm="1">
        <f t="array" ref="G97:L97">'CF Neu '!G65:L65</f>
        <v>4.5999999999999996</v>
      </c>
      <c r="H97" s="16">
        <v>-17.8</v>
      </c>
      <c r="I97" s="16">
        <v>-83</v>
      </c>
      <c r="J97" s="16">
        <v>42</v>
      </c>
      <c r="K97" s="16">
        <v>52</v>
      </c>
      <c r="L97" s="16">
        <v>44</v>
      </c>
      <c r="M97" s="16">
        <f ca="1">M105</f>
        <v>-146.30696808831914</v>
      </c>
      <c r="N97" s="16">
        <f t="shared" ref="N97:Q97" ca="1" si="27">N105</f>
        <v>-4.1196378780836085</v>
      </c>
      <c r="O97" s="16">
        <f t="shared" ca="1" si="27"/>
        <v>-18.479334675008118</v>
      </c>
      <c r="P97" s="16">
        <f t="shared" ca="1" si="27"/>
        <v>-22.426540343244739</v>
      </c>
      <c r="Q97" s="304">
        <f t="shared" ca="1" si="27"/>
        <v>-22.934007081030018</v>
      </c>
    </row>
    <row r="98" spans="2:22" x14ac:dyDescent="0.2">
      <c r="B98" s="8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43">
        <f ca="1">SUM(M92:M97)</f>
        <v>96.282073007571285</v>
      </c>
      <c r="N98" s="19">
        <f t="shared" ref="N98:Q98" ca="1" si="28">SUM(N92:N97)</f>
        <v>32.840285409587409</v>
      </c>
      <c r="O98" s="19">
        <f t="shared" ca="1" si="28"/>
        <v>173.06045422910168</v>
      </c>
      <c r="P98" s="19">
        <f t="shared" ca="1" si="28"/>
        <v>124.79654333565927</v>
      </c>
      <c r="Q98" s="100">
        <f t="shared" ca="1" si="28"/>
        <v>195.68410010590139</v>
      </c>
    </row>
    <row r="99" spans="2:22" x14ac:dyDescent="0.2">
      <c r="B99"/>
      <c r="M99" s="20"/>
      <c r="N99" s="20"/>
      <c r="O99" s="20"/>
      <c r="P99" s="20"/>
      <c r="Q99" s="20"/>
    </row>
    <row r="100" spans="2:22" x14ac:dyDescent="0.2">
      <c r="B100" s="305" t="s">
        <v>325</v>
      </c>
      <c r="C100" s="166"/>
      <c r="D100" s="166"/>
      <c r="E100" s="166"/>
      <c r="F100" s="166"/>
      <c r="G100" s="166">
        <f>'BS Neu'!D17</f>
        <v>4.9000000000000004</v>
      </c>
      <c r="H100" s="166">
        <f>'BS Neu'!E17</f>
        <v>4.8</v>
      </c>
      <c r="I100" s="166">
        <f>'BS Neu'!F17</f>
        <v>3</v>
      </c>
      <c r="J100" s="166">
        <f>'BS Neu'!G17</f>
        <v>2</v>
      </c>
      <c r="K100" s="166">
        <f>'BS Neu'!H17</f>
        <v>3</v>
      </c>
      <c r="L100" s="166">
        <f>'BS Neu'!I17</f>
        <v>20</v>
      </c>
      <c r="M100" s="166">
        <f>'BS Neu'!J17</f>
        <v>20</v>
      </c>
      <c r="N100" s="166">
        <f>'BS Neu'!K17</f>
        <v>20</v>
      </c>
      <c r="O100" s="166">
        <f>'BS Neu'!L17</f>
        <v>20</v>
      </c>
      <c r="P100" s="166">
        <f>'BS Neu'!M17</f>
        <v>20</v>
      </c>
      <c r="Q100" s="167">
        <f>'BS Neu'!N17</f>
        <v>20</v>
      </c>
    </row>
    <row r="101" spans="2:22" x14ac:dyDescent="0.2">
      <c r="B101" s="171" t="s">
        <v>386</v>
      </c>
      <c r="G101" s="16">
        <f>'BS Neu'!D44</f>
        <v>24.2</v>
      </c>
      <c r="H101" s="16">
        <f ca="1">'BS Neu'!E44</f>
        <v>25.1</v>
      </c>
      <c r="I101" s="16">
        <f ca="1">'BS Neu'!F44</f>
        <v>22</v>
      </c>
      <c r="J101" s="16">
        <f ca="1">'BS Neu'!G44</f>
        <v>25</v>
      </c>
      <c r="K101" s="16">
        <f ca="1">'BS Neu'!H44</f>
        <v>24</v>
      </c>
      <c r="L101" s="16">
        <f ca="1">'BS Neu'!I44</f>
        <v>59</v>
      </c>
      <c r="M101" s="16">
        <f ca="1">'BS Neu'!J44</f>
        <v>45.673906569541103</v>
      </c>
      <c r="N101" s="16">
        <f ca="1">'BS Neu'!K44</f>
        <v>49.994134301821873</v>
      </c>
      <c r="O101" s="16">
        <f ca="1">'BS Neu'!L44</f>
        <v>68.145468359143379</v>
      </c>
      <c r="P101" s="16">
        <f ca="1">'BS Neu'!M44</f>
        <v>72.406693676944514</v>
      </c>
      <c r="Q101" s="304">
        <f ca="1">'BS Neu'!N44</f>
        <v>89.102537214933193</v>
      </c>
    </row>
    <row r="102" spans="2:22" x14ac:dyDescent="0.2">
      <c r="B102" s="171" t="s">
        <v>323</v>
      </c>
      <c r="G102" s="16">
        <f>'BS Neu'!D25</f>
        <v>58.100000000000009</v>
      </c>
      <c r="H102" s="16">
        <f>'BS Neu'!E25</f>
        <v>98.6</v>
      </c>
      <c r="I102" s="16">
        <f>'BS Neu'!F25</f>
        <v>177</v>
      </c>
      <c r="J102" s="16">
        <f>'BS Neu'!G25</f>
        <v>163</v>
      </c>
      <c r="K102" s="16">
        <f>'BS Neu'!H25</f>
        <v>150</v>
      </c>
      <c r="L102" s="16">
        <f>'BS Neu'!I25</f>
        <v>143</v>
      </c>
      <c r="M102" s="16">
        <f>'BS Neu'!J25</f>
        <v>301.3808746578602</v>
      </c>
      <c r="N102" s="16">
        <f>'BS Neu'!K25</f>
        <v>315.37398866822457</v>
      </c>
      <c r="O102" s="16">
        <f>'BS Neu'!L25</f>
        <v>394.16934024055422</v>
      </c>
      <c r="P102" s="16">
        <f>'BS Neu'!M25</f>
        <v>456.03003898416011</v>
      </c>
      <c r="Q102" s="304">
        <f>'BS Neu'!N25</f>
        <v>547.88974284747474</v>
      </c>
    </row>
    <row r="103" spans="2:22" x14ac:dyDescent="0.2">
      <c r="B103" s="171" t="s">
        <v>133</v>
      </c>
      <c r="G103" s="16">
        <f>'BS Neu'!D53</f>
        <v>67.099999999999994</v>
      </c>
      <c r="H103" s="16">
        <f>'BS Neu'!E53</f>
        <v>86.9</v>
      </c>
      <c r="I103" s="16">
        <f>'BS Neu'!F53</f>
        <v>94</v>
      </c>
      <c r="J103" s="16">
        <f>'BS Neu'!G53</f>
        <v>101</v>
      </c>
      <c r="K103" s="16">
        <f>'BS Neu'!H53</f>
        <v>136</v>
      </c>
      <c r="L103" s="16">
        <f>'BS Neu'!I53</f>
        <v>151</v>
      </c>
      <c r="M103" s="16">
        <f>'BS Neu'!J53</f>
        <v>176.39999999999998</v>
      </c>
      <c r="N103" s="16">
        <f>'BS Neu'!K53</f>
        <v>181.95324839999995</v>
      </c>
      <c r="O103" s="16">
        <f>'BS Neu'!L53</f>
        <v>224.11793123999999</v>
      </c>
      <c r="P103" s="16">
        <f>'BS Neu'!M53</f>
        <v>259.29086432255997</v>
      </c>
      <c r="Q103" s="304">
        <f>'BS Neu'!N53</f>
        <v>311.52071756685592</v>
      </c>
    </row>
    <row r="104" spans="2:22" x14ac:dyDescent="0.2">
      <c r="B104" s="171" t="s">
        <v>313</v>
      </c>
      <c r="G104" s="20">
        <f t="shared" ref="G104:L104" si="29">G100+G102-G101-G103</f>
        <v>-28.299999999999983</v>
      </c>
      <c r="H104" s="20">
        <f t="shared" ca="1" si="29"/>
        <v>-8.6000000000000227</v>
      </c>
      <c r="I104" s="20">
        <f t="shared" ca="1" si="29"/>
        <v>64</v>
      </c>
      <c r="J104" s="20">
        <f t="shared" ca="1" si="29"/>
        <v>39</v>
      </c>
      <c r="K104" s="20">
        <f t="shared" ca="1" si="29"/>
        <v>-7</v>
      </c>
      <c r="L104" s="20">
        <f t="shared" ca="1" si="29"/>
        <v>-47</v>
      </c>
      <c r="M104" s="20">
        <f ca="1">M100+M102-M101-M103</f>
        <v>99.306968088319138</v>
      </c>
      <c r="N104" s="20">
        <f t="shared" ref="N104:Q104" ca="1" si="30">N100+N102-N101-N103</f>
        <v>103.42660596640275</v>
      </c>
      <c r="O104" s="20">
        <f t="shared" ca="1" si="30"/>
        <v>121.90594064141087</v>
      </c>
      <c r="P104" s="20">
        <f t="shared" ca="1" si="30"/>
        <v>144.3324809846556</v>
      </c>
      <c r="Q104" s="331">
        <f t="shared" ca="1" si="30"/>
        <v>167.26648806568562</v>
      </c>
    </row>
    <row r="105" spans="2:22" x14ac:dyDescent="0.2">
      <c r="B105" s="282" t="s">
        <v>587</v>
      </c>
      <c r="C105" s="27"/>
      <c r="D105" s="27"/>
      <c r="E105" s="27"/>
      <c r="F105" s="27"/>
      <c r="G105" s="27"/>
      <c r="H105" s="27">
        <f ca="1">G104-H104</f>
        <v>-19.69999999999996</v>
      </c>
      <c r="I105" s="27">
        <f ca="1">H104-I104</f>
        <v>-72.600000000000023</v>
      </c>
      <c r="J105" s="27">
        <f t="shared" ref="J105:L105" ca="1" si="31">I104-J104</f>
        <v>25</v>
      </c>
      <c r="K105" s="27">
        <f t="shared" ca="1" si="31"/>
        <v>46</v>
      </c>
      <c r="L105" s="27">
        <f t="shared" ca="1" si="31"/>
        <v>40</v>
      </c>
      <c r="M105" s="27">
        <f t="shared" ref="M105" ca="1" si="32">L104-M104</f>
        <v>-146.30696808831914</v>
      </c>
      <c r="N105" s="27">
        <f t="shared" ref="N105" ca="1" si="33">M104-N104</f>
        <v>-4.1196378780836085</v>
      </c>
      <c r="O105" s="27">
        <f t="shared" ref="O105" ca="1" si="34">N104-O104</f>
        <v>-18.479334675008118</v>
      </c>
      <c r="P105" s="27">
        <f t="shared" ref="P105" ca="1" si="35">O104-P104</f>
        <v>-22.426540343244739</v>
      </c>
      <c r="Q105" s="306">
        <f t="shared" ref="Q105" ca="1" si="36">P104-Q104</f>
        <v>-22.934007081030018</v>
      </c>
    </row>
    <row r="107" spans="2:22" x14ac:dyDescent="0.2">
      <c r="G107" s="20"/>
      <c r="H107" s="20"/>
      <c r="I107" s="20"/>
      <c r="J107" s="20"/>
      <c r="K107" s="20"/>
      <c r="L107" s="20"/>
    </row>
    <row r="108" spans="2:22" x14ac:dyDescent="0.2">
      <c r="B108" s="20" t="s">
        <v>679</v>
      </c>
      <c r="L108" s="362" t="s">
        <v>712</v>
      </c>
      <c r="M108" s="362" t="s">
        <v>713</v>
      </c>
    </row>
    <row r="109" spans="2:22" x14ac:dyDescent="0.2">
      <c r="B109" s="20" t="s">
        <v>716</v>
      </c>
      <c r="G109" s="16">
        <f>'BS Neu'!D52</f>
        <v>185.1</v>
      </c>
      <c r="H109" s="16">
        <f>'BS Neu'!E52</f>
        <v>193.6</v>
      </c>
      <c r="I109" s="16">
        <f>'BS Neu'!F52</f>
        <v>188</v>
      </c>
      <c r="J109" s="16">
        <f>'BS Neu'!G52</f>
        <v>181</v>
      </c>
      <c r="K109" s="16">
        <f>'BS Neu'!H52</f>
        <v>221</v>
      </c>
      <c r="L109" s="16">
        <f>'BS Neu'!I52</f>
        <v>257</v>
      </c>
      <c r="M109" s="16">
        <f>'BS Neu'!J52</f>
        <v>252</v>
      </c>
      <c r="N109" s="16">
        <f>'BS Neu'!K52</f>
        <v>263.70035999999993</v>
      </c>
      <c r="O109" s="16">
        <f>'BS Neu'!L52</f>
        <v>329.58519299999995</v>
      </c>
      <c r="P109" s="16">
        <f>'BS Neu'!M52</f>
        <v>381.31009459199987</v>
      </c>
      <c r="Q109" s="16">
        <f>'BS Neu'!N52</f>
        <v>458.11870230419987</v>
      </c>
    </row>
    <row r="110" spans="2:22" x14ac:dyDescent="0.2">
      <c r="B110" s="20" t="s">
        <v>717</v>
      </c>
      <c r="G110" s="16">
        <f>'BS Neu'!D43</f>
        <v>413.6</v>
      </c>
      <c r="H110" s="16">
        <f ca="1">'BS Neu'!E43</f>
        <v>482.6</v>
      </c>
      <c r="I110" s="16">
        <f ca="1">'BS Neu'!F43</f>
        <v>497</v>
      </c>
      <c r="J110" s="16">
        <f ca="1">'BS Neu'!G43</f>
        <v>282</v>
      </c>
      <c r="K110" s="16">
        <f ca="1">'BS Neu'!H43</f>
        <v>357</v>
      </c>
      <c r="L110" s="16">
        <f ca="1">'BS Neu'!I43</f>
        <v>418</v>
      </c>
      <c r="M110" s="16">
        <f>'BS Neu'!J43</f>
        <v>588</v>
      </c>
      <c r="N110" s="16">
        <f>'BS Neu'!K43</f>
        <v>615.30083999999988</v>
      </c>
      <c r="O110" s="16">
        <f>'BS Neu'!L43</f>
        <v>769.03211699999986</v>
      </c>
      <c r="P110" s="16">
        <f>'BS Neu'!M43</f>
        <v>889.72355404799976</v>
      </c>
      <c r="Q110" s="16">
        <f>'BS Neu'!N43</f>
        <v>1068.9436387097996</v>
      </c>
    </row>
    <row r="111" spans="2:22" x14ac:dyDescent="0.2">
      <c r="B111" s="290" t="s">
        <v>99</v>
      </c>
      <c r="G111" s="16">
        <f>'BS Neu'!D43+'BS Neu'!D52</f>
        <v>598.70000000000005</v>
      </c>
      <c r="H111" s="16">
        <f ca="1">'BS Neu'!E43+'BS Neu'!E52</f>
        <v>676.2</v>
      </c>
      <c r="I111" s="16">
        <f ca="1">'BS Neu'!F43+'BS Neu'!F52</f>
        <v>685</v>
      </c>
      <c r="J111" s="16">
        <f ca="1">'BS Neu'!G43+'BS Neu'!G52</f>
        <v>463</v>
      </c>
      <c r="K111" s="16">
        <f ca="1">'BS Neu'!H43+'BS Neu'!H52</f>
        <v>578</v>
      </c>
      <c r="L111" s="16">
        <f ca="1">'BS Neu'!I43+'BS Neu'!I52</f>
        <v>675</v>
      </c>
      <c r="M111" s="16">
        <f>'BS Neu'!J43+'BS Neu'!J52</f>
        <v>840</v>
      </c>
      <c r="N111" s="16">
        <f>'BS Neu'!K43+'BS Neu'!K52</f>
        <v>879.00119999999981</v>
      </c>
      <c r="O111" s="16">
        <f>'BS Neu'!L43+'BS Neu'!L52</f>
        <v>1098.6173099999999</v>
      </c>
      <c r="P111" s="16">
        <f>'BS Neu'!M43+'BS Neu'!M52</f>
        <v>1271.0336486399997</v>
      </c>
      <c r="Q111" s="16">
        <f>'BS Neu'!N43+'BS Neu'!N52</f>
        <v>1527.0623410139995</v>
      </c>
      <c r="R111" s="16" t="s">
        <v>680</v>
      </c>
      <c r="V111"/>
    </row>
    <row r="112" spans="2:22" x14ac:dyDescent="0.2">
      <c r="B112" s="290" t="s">
        <v>100</v>
      </c>
      <c r="G112" s="16">
        <f>'BS Neu'!D22</f>
        <v>411.1</v>
      </c>
      <c r="H112" s="16">
        <f>'BS Neu'!E22</f>
        <v>403.7</v>
      </c>
      <c r="I112" s="16">
        <f>'BS Neu'!F22</f>
        <v>444</v>
      </c>
      <c r="J112" s="16">
        <f>'BS Neu'!G22</f>
        <v>516</v>
      </c>
      <c r="K112" s="16">
        <f>'BS Neu'!H22</f>
        <v>625</v>
      </c>
      <c r="L112" s="16">
        <f>'BS Neu'!I22</f>
        <v>719</v>
      </c>
      <c r="M112" s="16">
        <f>'BS Neu'!J22</f>
        <v>751.78082191780811</v>
      </c>
      <c r="N112" s="16">
        <f>'BS Neu'!K22</f>
        <v>775.44763397260249</v>
      </c>
      <c r="O112" s="16">
        <f>'BS Neu'!L22</f>
        <v>955.14491243835607</v>
      </c>
      <c r="P112" s="16">
        <f>'BS Neu'!M22</f>
        <v>1105.0447794568765</v>
      </c>
      <c r="Q112" s="16">
        <f>'BS Neu'!N22</f>
        <v>1327.637761319934</v>
      </c>
      <c r="R112" s="16" t="s">
        <v>681</v>
      </c>
    </row>
    <row r="113" spans="1:32" x14ac:dyDescent="0.2">
      <c r="B113" s="290" t="s">
        <v>372</v>
      </c>
      <c r="G113" s="16">
        <f>'BS Neu'!D24</f>
        <v>165.9</v>
      </c>
      <c r="H113" s="16">
        <f>'BS Neu'!E24</f>
        <v>204.4</v>
      </c>
      <c r="I113" s="16">
        <f>'BS Neu'!F24</f>
        <v>170</v>
      </c>
      <c r="J113" s="16">
        <f>'BS Neu'!G24</f>
        <v>182</v>
      </c>
      <c r="K113" s="16">
        <f>'BS Neu'!H24</f>
        <v>196</v>
      </c>
      <c r="L113" s="16">
        <f>'BS Neu'!I24</f>
        <v>385</v>
      </c>
      <c r="M113" s="16">
        <f>'BS Neu'!J24</f>
        <v>308</v>
      </c>
      <c r="N113" s="16">
        <f>'BS Neu'!K24</f>
        <v>322.30043999999992</v>
      </c>
      <c r="O113" s="16">
        <f>'BS Neu'!L24</f>
        <v>402.826347</v>
      </c>
      <c r="P113" s="16">
        <f>'BS Neu'!M24</f>
        <v>466.0456711679999</v>
      </c>
      <c r="Q113" s="16">
        <f>'BS Neu'!N24</f>
        <v>559.92285837179986</v>
      </c>
      <c r="R113" s="16" t="s">
        <v>681</v>
      </c>
    </row>
    <row r="114" spans="1:32" x14ac:dyDescent="0.2">
      <c r="B114" s="290" t="s">
        <v>682</v>
      </c>
      <c r="G114" s="16">
        <f>'BS Neu'!D51</f>
        <v>317.10000000000002</v>
      </c>
      <c r="H114" s="16">
        <f>'BS Neu'!E51</f>
        <v>416.8</v>
      </c>
      <c r="I114" s="16">
        <f>'BS Neu'!F51</f>
        <v>500</v>
      </c>
      <c r="J114" s="16">
        <f>'BS Neu'!G51</f>
        <v>488</v>
      </c>
      <c r="K114" s="16">
        <f>'BS Neu'!H51</f>
        <v>578</v>
      </c>
      <c r="L114" s="16">
        <f>'BS Neu'!I51</f>
        <v>776</v>
      </c>
      <c r="M114" s="16">
        <f>'BS Neu'!J51</f>
        <v>868</v>
      </c>
      <c r="N114" s="16">
        <f>'BS Neu'!K51</f>
        <v>908.30123999999978</v>
      </c>
      <c r="O114" s="16">
        <f>'BS Neu'!L51</f>
        <v>1135.237887</v>
      </c>
      <c r="P114" s="16">
        <f>'BS Neu'!M51</f>
        <v>1313.4014369279998</v>
      </c>
      <c r="Q114" s="16">
        <f>'BS Neu'!N51</f>
        <v>1577.9644190477998</v>
      </c>
      <c r="R114" s="16" t="s">
        <v>680</v>
      </c>
    </row>
    <row r="115" spans="1:32" x14ac:dyDescent="0.2">
      <c r="B115" s="290" t="s">
        <v>102</v>
      </c>
      <c r="G115" s="16">
        <f>'BS Neu'!D23</f>
        <v>290.8</v>
      </c>
      <c r="H115" s="16">
        <f>'BS Neu'!E23</f>
        <v>282</v>
      </c>
      <c r="I115" s="16">
        <f>'BS Neu'!F23</f>
        <v>309</v>
      </c>
      <c r="J115" s="16">
        <f>'BS Neu'!G23</f>
        <v>323</v>
      </c>
      <c r="K115" s="16">
        <f>'BS Neu'!H23</f>
        <v>382</v>
      </c>
      <c r="L115" s="16">
        <f>'BS Neu'!I23</f>
        <v>426</v>
      </c>
      <c r="M115" s="16">
        <f>'BS Neu'!J23</f>
        <v>421.91780821917808</v>
      </c>
      <c r="N115" s="16">
        <f>'BS Neu'!K23</f>
        <v>441.50745205479444</v>
      </c>
      <c r="O115" s="16">
        <f>'BS Neu'!L23</f>
        <v>551.81691369863006</v>
      </c>
      <c r="P115" s="16">
        <f>'BS Neu'!M23</f>
        <v>638.41872762739706</v>
      </c>
      <c r="Q115" s="16">
        <f>'BS Neu'!N23</f>
        <v>767.01761420794503</v>
      </c>
      <c r="R115" s="16" t="s">
        <v>681</v>
      </c>
    </row>
    <row r="116" spans="1:32" x14ac:dyDescent="0.2">
      <c r="B116" s="290" t="s">
        <v>103</v>
      </c>
      <c r="G116" s="16">
        <f>'BS Neu'!D50</f>
        <v>168.8</v>
      </c>
      <c r="H116" s="16">
        <f>'BS Neu'!E50</f>
        <v>164</v>
      </c>
      <c r="I116" s="16">
        <f>'BS Neu'!F50</f>
        <v>269</v>
      </c>
      <c r="J116" s="16">
        <f>'BS Neu'!G50</f>
        <v>379</v>
      </c>
      <c r="K116" s="16">
        <f>'BS Neu'!H50</f>
        <v>457</v>
      </c>
      <c r="L116" s="16">
        <f>'BS Neu'!I50</f>
        <v>546</v>
      </c>
      <c r="M116" s="16">
        <f>'BS Neu'!J50</f>
        <v>483.28767123287662</v>
      </c>
      <c r="N116" s="16">
        <f>'BS Neu'!K50</f>
        <v>498.50205041095876</v>
      </c>
      <c r="O116" s="16">
        <f>'BS Neu'!L50</f>
        <v>614.02172942465745</v>
      </c>
      <c r="P116" s="16">
        <f>'BS Neu'!M50</f>
        <v>710.38592965084922</v>
      </c>
      <c r="Q116" s="16">
        <f>'BS Neu'!N50</f>
        <v>853.48141799138614</v>
      </c>
      <c r="R116" s="16" t="s">
        <v>680</v>
      </c>
    </row>
    <row r="117" spans="1:32" x14ac:dyDescent="0.2">
      <c r="B117" s="290" t="s">
        <v>323</v>
      </c>
      <c r="G117" s="16">
        <f>'BS Neu'!D25</f>
        <v>58.100000000000009</v>
      </c>
      <c r="H117" s="16">
        <f>'BS Neu'!E25</f>
        <v>98.6</v>
      </c>
      <c r="I117" s="16">
        <f>'BS Neu'!F25</f>
        <v>177</v>
      </c>
      <c r="J117" s="16">
        <f>'BS Neu'!G25</f>
        <v>163</v>
      </c>
      <c r="K117" s="16">
        <f>'BS Neu'!H25</f>
        <v>150</v>
      </c>
      <c r="L117" s="16">
        <f>'BS Neu'!I25</f>
        <v>143</v>
      </c>
      <c r="M117" s="16">
        <f>'BS Neu'!J25</f>
        <v>301.3808746578602</v>
      </c>
      <c r="N117" s="16">
        <f>'BS Neu'!K25</f>
        <v>315.37398866822457</v>
      </c>
      <c r="O117" s="16">
        <f>'BS Neu'!L25</f>
        <v>394.16934024055422</v>
      </c>
      <c r="P117" s="16">
        <f>'BS Neu'!M25</f>
        <v>456.03003898416011</v>
      </c>
      <c r="Q117" s="16">
        <f>'BS Neu'!N25</f>
        <v>547.88974284747474</v>
      </c>
      <c r="R117" s="16" t="s">
        <v>681</v>
      </c>
    </row>
    <row r="118" spans="1:32" x14ac:dyDescent="0.2">
      <c r="B118" s="20" t="s">
        <v>714</v>
      </c>
      <c r="G118" s="16">
        <f>'BS Neu'!D53</f>
        <v>67.099999999999994</v>
      </c>
      <c r="H118" s="16">
        <f>'BS Neu'!E53</f>
        <v>86.9</v>
      </c>
      <c r="I118" s="16">
        <f>'BS Neu'!F53</f>
        <v>94</v>
      </c>
      <c r="J118" s="16">
        <f>'BS Neu'!G53</f>
        <v>101</v>
      </c>
      <c r="K118" s="16">
        <f>'BS Neu'!H53</f>
        <v>136</v>
      </c>
      <c r="L118" s="16">
        <f>'BS Neu'!I53</f>
        <v>151</v>
      </c>
      <c r="M118" s="16">
        <f>'BS Neu'!J53</f>
        <v>176.39999999999998</v>
      </c>
      <c r="N118" s="16">
        <f>'BS Neu'!K53</f>
        <v>181.95324839999995</v>
      </c>
      <c r="O118" s="16">
        <f>'BS Neu'!L53</f>
        <v>224.11793123999999</v>
      </c>
      <c r="P118" s="16">
        <f>'BS Neu'!M53</f>
        <v>259.29086432255997</v>
      </c>
      <c r="Q118" s="16">
        <f>'BS Neu'!N53</f>
        <v>311.52071756685592</v>
      </c>
      <c r="R118" s="16" t="s">
        <v>680</v>
      </c>
    </row>
    <row r="119" spans="1:32" x14ac:dyDescent="0.2">
      <c r="B119" s="366" t="s">
        <v>718</v>
      </c>
      <c r="C119"/>
      <c r="D119"/>
      <c r="E119"/>
      <c r="F119"/>
      <c r="G119" s="16">
        <f>'BS Neu'!D102</f>
        <v>44.8</v>
      </c>
      <c r="H119" s="16">
        <f>'BS Neu'!E102</f>
        <v>7.7</v>
      </c>
      <c r="I119" s="16">
        <f>'BS Neu'!F102</f>
        <v>4</v>
      </c>
      <c r="J119" s="16">
        <f>'BS Neu'!G102</f>
        <v>94</v>
      </c>
      <c r="K119" s="16">
        <f>'BS Neu'!H102</f>
        <v>79</v>
      </c>
      <c r="L119" s="16">
        <f>'BS Neu'!I102</f>
        <v>123</v>
      </c>
      <c r="M119" s="16">
        <f ca="1">'BS Neu'!J45</f>
        <v>182.95526540901616</v>
      </c>
      <c r="N119" s="16">
        <f ca="1">'BS Neu'!K45</f>
        <v>188.84128220090733</v>
      </c>
      <c r="O119" s="16">
        <f ca="1">'BS Neu'!L45</f>
        <v>200.54653459720123</v>
      </c>
      <c r="P119" s="16">
        <f ca="1">'BS Neu'!M45</f>
        <v>216.00225582235984</v>
      </c>
      <c r="Q119" s="16">
        <f ca="1">'BS Neu'!N45</f>
        <v>237.27935530297847</v>
      </c>
    </row>
    <row r="120" spans="1:32" x14ac:dyDescent="0.2">
      <c r="B120" s="366" t="s">
        <v>719</v>
      </c>
      <c r="C120"/>
      <c r="D120"/>
      <c r="E120"/>
      <c r="F120"/>
      <c r="G120" s="16">
        <f>'BS Neu'!D111</f>
        <v>0.1</v>
      </c>
      <c r="H120" s="16">
        <f>'BS Neu'!E111</f>
        <v>7.6</v>
      </c>
      <c r="I120" s="16">
        <f>'BS Neu'!F111</f>
        <v>11</v>
      </c>
      <c r="J120" s="16">
        <f>'BS Neu'!G111</f>
        <v>19</v>
      </c>
      <c r="K120" s="16">
        <f>'BS Neu'!H111</f>
        <v>39</v>
      </c>
      <c r="L120" s="16">
        <f>'BS Neu'!I111</f>
        <v>33</v>
      </c>
      <c r="M120" s="16">
        <f>'Debt &amp; Cash'!K103</f>
        <v>37.819085352000016</v>
      </c>
      <c r="N120" s="16">
        <f ca="1">'Debt &amp; Cash'!L103</f>
        <v>40.922114494610689</v>
      </c>
      <c r="O120" s="16">
        <f ca="1">'Debt &amp; Cash'!M103</f>
        <v>55.042235254387187</v>
      </c>
      <c r="P120" s="16">
        <f ca="1">'Debt &amp; Cash'!N103</f>
        <v>65.842946835043477</v>
      </c>
      <c r="Q120" s="16">
        <f ca="1">'Debt &amp; Cash'!O103</f>
        <v>79.552581315887167</v>
      </c>
    </row>
    <row r="121" spans="1:32" x14ac:dyDescent="0.2">
      <c r="B121" s="20" t="s">
        <v>720</v>
      </c>
      <c r="G121" s="16">
        <f>'BS Neu'!D18</f>
        <v>30.4</v>
      </c>
      <c r="H121" s="16">
        <f>'BS Neu'!E18</f>
        <v>26.3</v>
      </c>
      <c r="I121" s="16">
        <f>'BS Neu'!F18</f>
        <v>11</v>
      </c>
      <c r="J121" s="16">
        <f>'BS Neu'!G18</f>
        <v>6</v>
      </c>
      <c r="K121" s="16">
        <f>'BS Neu'!H18</f>
        <v>9</v>
      </c>
      <c r="L121" s="16">
        <f>'BS Neu'!I18</f>
        <v>1</v>
      </c>
      <c r="M121" s="16">
        <f>'BS Neu'!J18</f>
        <v>0</v>
      </c>
      <c r="N121" s="16">
        <f>'BS Neu'!K18</f>
        <v>0</v>
      </c>
      <c r="O121" s="16">
        <f>'BS Neu'!L18</f>
        <v>0</v>
      </c>
      <c r="P121" s="16">
        <f>'BS Neu'!M18</f>
        <v>0</v>
      </c>
      <c r="Q121" s="16">
        <f>'BS Neu'!N18</f>
        <v>0</v>
      </c>
    </row>
    <row r="122" spans="1:32" x14ac:dyDescent="0.2">
      <c r="B122" s="20" t="s">
        <v>721</v>
      </c>
      <c r="G122" s="16">
        <f>'BS Neu'!D82</f>
        <v>3.2</v>
      </c>
      <c r="H122" s="16">
        <f>'BS Neu'!E82</f>
        <v>1.6</v>
      </c>
      <c r="I122" s="16">
        <f>'BS Neu'!F82</f>
        <v>2</v>
      </c>
      <c r="J122" s="16">
        <f>'BS Neu'!G82</f>
        <v>10</v>
      </c>
      <c r="K122" s="16">
        <f>'BS Neu'!H82</f>
        <v>15</v>
      </c>
      <c r="L122" s="16">
        <f>'BS Neu'!I82</f>
        <v>20</v>
      </c>
      <c r="M122" s="16">
        <f>'Debt &amp; Cash'!K107</f>
        <v>21.380874657860183</v>
      </c>
      <c r="N122" s="16">
        <f>'Debt &amp; Cash'!L107</f>
        <v>22.373588668224627</v>
      </c>
      <c r="O122" s="16">
        <f>'Debt &amp; Cash'!M107</f>
        <v>27.963570240554198</v>
      </c>
      <c r="P122" s="16">
        <f>'Debt &amp; Cash'!N107</f>
        <v>32.352156104160166</v>
      </c>
      <c r="Q122" s="16">
        <f>'Debt &amp; Cash'!O107</f>
        <v>38.868962509474848</v>
      </c>
    </row>
    <row r="123" spans="1:32" x14ac:dyDescent="0.2">
      <c r="B123" s="20"/>
      <c r="G123" s="16">
        <f>SUM(G119:G120)-SUM(G121:G122)</f>
        <v>11.299999999999997</v>
      </c>
      <c r="H123" s="16">
        <f t="shared" ref="H123:Q123" si="37">SUM(H119:H120)-SUM(H121:H122)</f>
        <v>-12.600000000000001</v>
      </c>
      <c r="I123" s="16">
        <f t="shared" si="37"/>
        <v>2</v>
      </c>
      <c r="J123" s="16">
        <f t="shared" si="37"/>
        <v>97</v>
      </c>
      <c r="K123" s="16">
        <f t="shared" si="37"/>
        <v>94</v>
      </c>
      <c r="L123" s="16">
        <f t="shared" si="37"/>
        <v>135</v>
      </c>
      <c r="M123" s="16">
        <f t="shared" ca="1" si="37"/>
        <v>199.39347610315602</v>
      </c>
      <c r="N123" s="16">
        <f t="shared" ca="1" si="37"/>
        <v>207.38980802729338</v>
      </c>
      <c r="O123" s="16">
        <f t="shared" ca="1" si="37"/>
        <v>227.62519961103422</v>
      </c>
      <c r="P123" s="16">
        <f t="shared" ca="1" si="37"/>
        <v>249.49304655324315</v>
      </c>
      <c r="Q123" s="16">
        <f t="shared" ca="1" si="37"/>
        <v>277.96297410939081</v>
      </c>
    </row>
    <row r="124" spans="1:32" x14ac:dyDescent="0.2">
      <c r="B124" s="20" t="s">
        <v>722</v>
      </c>
      <c r="H124" s="16">
        <f>H123-G123</f>
        <v>-23.9</v>
      </c>
      <c r="I124" s="16">
        <f t="shared" ref="I124:Q124" si="38">I123-H123</f>
        <v>14.600000000000001</v>
      </c>
      <c r="J124" s="16">
        <f t="shared" si="38"/>
        <v>95</v>
      </c>
      <c r="K124" s="16">
        <f t="shared" si="38"/>
        <v>-3</v>
      </c>
      <c r="L124" s="16">
        <f t="shared" si="38"/>
        <v>41</v>
      </c>
      <c r="M124" s="43">
        <f t="shared" ca="1" si="38"/>
        <v>64.393476103156019</v>
      </c>
      <c r="N124" s="19">
        <f t="shared" ca="1" si="38"/>
        <v>7.9963319241373654</v>
      </c>
      <c r="O124" s="19">
        <f t="shared" ca="1" si="38"/>
        <v>20.235391583740835</v>
      </c>
      <c r="P124" s="19">
        <f t="shared" ca="1" si="38"/>
        <v>21.867846942208928</v>
      </c>
      <c r="Q124" s="100">
        <f t="shared" ca="1" si="38"/>
        <v>28.469927556147667</v>
      </c>
    </row>
    <row r="125" spans="1:32" x14ac:dyDescent="0.2">
      <c r="B125" s="20"/>
    </row>
    <row r="126" spans="1:32" x14ac:dyDescent="0.2">
      <c r="B126" s="16" t="s">
        <v>684</v>
      </c>
    </row>
    <row r="127" spans="1:32" x14ac:dyDescent="0.2">
      <c r="B127" s="363" t="s">
        <v>99</v>
      </c>
      <c r="C127" s="365"/>
      <c r="D127" s="365"/>
      <c r="E127" s="365"/>
      <c r="F127" s="365"/>
      <c r="G127" s="365"/>
      <c r="H127" s="365">
        <f t="shared" ref="H127:Q127" ca="1" si="39">H111-G111</f>
        <v>77.5</v>
      </c>
      <c r="I127" s="365">
        <f t="shared" ca="1" si="39"/>
        <v>8.7999999999999545</v>
      </c>
      <c r="J127" s="365">
        <f t="shared" ca="1" si="39"/>
        <v>-222</v>
      </c>
      <c r="K127" s="365">
        <f t="shared" ca="1" si="39"/>
        <v>115</v>
      </c>
      <c r="L127" s="365">
        <f t="shared" ca="1" si="39"/>
        <v>97</v>
      </c>
      <c r="M127" s="365">
        <f t="shared" ca="1" si="39"/>
        <v>165</v>
      </c>
      <c r="N127" s="365">
        <f t="shared" si="39"/>
        <v>39.001199999999812</v>
      </c>
      <c r="O127" s="365">
        <f t="shared" si="39"/>
        <v>219.61611000000005</v>
      </c>
      <c r="P127" s="365">
        <f t="shared" si="39"/>
        <v>172.41633863999982</v>
      </c>
      <c r="Q127" s="365">
        <f t="shared" si="39"/>
        <v>256.02869237399977</v>
      </c>
      <c r="R127" s="365" t="s">
        <v>680</v>
      </c>
      <c r="T127" s="386" t="s">
        <v>768</v>
      </c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7"/>
    </row>
    <row r="128" spans="1:32" x14ac:dyDescent="0.2">
      <c r="A128" s="16" t="s">
        <v>140</v>
      </c>
      <c r="B128" s="363" t="s">
        <v>100</v>
      </c>
      <c r="C128" s="364"/>
      <c r="D128" s="364"/>
      <c r="E128" s="364"/>
      <c r="F128" s="364"/>
      <c r="G128" s="364"/>
      <c r="H128" s="365">
        <f t="shared" ref="H128:L129" si="40">(H112-G112)*-1</f>
        <v>7.4000000000000341</v>
      </c>
      <c r="I128" s="365">
        <f t="shared" si="40"/>
        <v>-40.300000000000011</v>
      </c>
      <c r="J128" s="365">
        <f t="shared" si="40"/>
        <v>-72</v>
      </c>
      <c r="K128" s="365">
        <f t="shared" si="40"/>
        <v>-109</v>
      </c>
      <c r="L128" s="365">
        <f t="shared" si="40"/>
        <v>-94</v>
      </c>
      <c r="M128" s="365">
        <f>L112-M112</f>
        <v>-32.780821917808112</v>
      </c>
      <c r="N128" s="365">
        <f t="shared" ref="N128:Q129" si="41">(N112-M112)*-1</f>
        <v>-23.666812054794377</v>
      </c>
      <c r="O128" s="365">
        <f t="shared" si="41"/>
        <v>-179.69727846575358</v>
      </c>
      <c r="P128" s="365">
        <f t="shared" si="41"/>
        <v>-149.89986701852047</v>
      </c>
      <c r="Q128" s="365">
        <f t="shared" si="41"/>
        <v>-222.5929818630575</v>
      </c>
      <c r="R128" s="365" t="s">
        <v>681</v>
      </c>
      <c r="S128"/>
      <c r="T128" s="170" t="s">
        <v>771</v>
      </c>
      <c r="U128"/>
      <c r="V128"/>
      <c r="W128"/>
      <c r="X128"/>
      <c r="Y128"/>
      <c r="Z128"/>
      <c r="AA128"/>
      <c r="AB128"/>
      <c r="AF128" s="304"/>
    </row>
    <row r="129" spans="1:32" x14ac:dyDescent="0.2">
      <c r="A129" s="16" t="s">
        <v>140</v>
      </c>
      <c r="B129" s="363" t="s">
        <v>372</v>
      </c>
      <c r="C129" s="364"/>
      <c r="D129" s="364"/>
      <c r="E129" s="364"/>
      <c r="F129" s="364"/>
      <c r="G129" s="364"/>
      <c r="H129" s="364">
        <f t="shared" si="40"/>
        <v>-38.5</v>
      </c>
      <c r="I129" s="364">
        <f t="shared" si="40"/>
        <v>34.400000000000006</v>
      </c>
      <c r="J129" s="364">
        <f t="shared" si="40"/>
        <v>-12</v>
      </c>
      <c r="K129" s="364">
        <f t="shared" si="40"/>
        <v>-14</v>
      </c>
      <c r="L129" s="364">
        <f t="shared" si="40"/>
        <v>-189</v>
      </c>
      <c r="M129" s="365">
        <f>M113-L113</f>
        <v>-77</v>
      </c>
      <c r="N129" s="365">
        <f t="shared" si="41"/>
        <v>-14.300439999999924</v>
      </c>
      <c r="O129" s="365">
        <f t="shared" si="41"/>
        <v>-80.525907000000075</v>
      </c>
      <c r="P129" s="365">
        <f t="shared" si="41"/>
        <v>-63.219324167999901</v>
      </c>
      <c r="Q129" s="365">
        <f t="shared" si="41"/>
        <v>-93.877187203799963</v>
      </c>
      <c r="R129" s="365" t="s">
        <v>681</v>
      </c>
      <c r="S129"/>
      <c r="T129" s="170" t="s">
        <v>770</v>
      </c>
      <c r="U129"/>
      <c r="V129"/>
      <c r="W129"/>
      <c r="X129"/>
      <c r="Y129"/>
      <c r="Z129"/>
      <c r="AA129"/>
      <c r="AB129"/>
      <c r="AF129" s="304"/>
    </row>
    <row r="130" spans="1:32" x14ac:dyDescent="0.2">
      <c r="B130" s="363" t="s">
        <v>682</v>
      </c>
      <c r="C130" s="364"/>
      <c r="D130" s="364"/>
      <c r="E130" s="364"/>
      <c r="F130" s="364"/>
      <c r="G130" s="364"/>
      <c r="H130" s="365">
        <f>H114-G114</f>
        <v>99.699999999999989</v>
      </c>
      <c r="I130" s="365">
        <f>I114-H114</f>
        <v>83.199999999999989</v>
      </c>
      <c r="J130" s="365">
        <f>J114-I114</f>
        <v>-12</v>
      </c>
      <c r="K130" s="365">
        <f>K114-J114</f>
        <v>90</v>
      </c>
      <c r="L130" s="365">
        <f>L114-K114</f>
        <v>198</v>
      </c>
      <c r="M130" s="365">
        <f>M114-L114</f>
        <v>92</v>
      </c>
      <c r="N130" s="365">
        <f>N114-M114</f>
        <v>40.30123999999978</v>
      </c>
      <c r="O130" s="365">
        <f>O114-N114</f>
        <v>226.93664700000022</v>
      </c>
      <c r="P130" s="365">
        <f>P114-O114</f>
        <v>178.16354992799984</v>
      </c>
      <c r="Q130" s="365">
        <f>Q114-P114</f>
        <v>264.56298211979993</v>
      </c>
      <c r="R130" s="365" t="s">
        <v>680</v>
      </c>
      <c r="S130"/>
      <c r="T130" s="86" t="s">
        <v>769</v>
      </c>
      <c r="U130" s="22"/>
      <c r="V130" s="22"/>
      <c r="W130" s="22"/>
      <c r="X130" s="22"/>
      <c r="Y130" s="22"/>
      <c r="Z130" s="22"/>
      <c r="AA130" s="22"/>
      <c r="AB130" s="22"/>
      <c r="AC130" s="27"/>
      <c r="AD130" s="27"/>
      <c r="AE130" s="27"/>
      <c r="AF130" s="306"/>
    </row>
    <row r="131" spans="1:32" x14ac:dyDescent="0.2">
      <c r="A131" s="16" t="s">
        <v>140</v>
      </c>
      <c r="B131" s="363" t="s">
        <v>102</v>
      </c>
      <c r="C131" s="364"/>
      <c r="D131" s="364"/>
      <c r="E131" s="364"/>
      <c r="F131" s="364"/>
      <c r="G131" s="364"/>
      <c r="H131" s="365">
        <f t="shared" ref="H131:L131" si="42">G115-H115</f>
        <v>8.8000000000000114</v>
      </c>
      <c r="I131" s="365">
        <f t="shared" si="42"/>
        <v>-27</v>
      </c>
      <c r="J131" s="365">
        <f t="shared" si="42"/>
        <v>-14</v>
      </c>
      <c r="K131" s="365">
        <f t="shared" si="42"/>
        <v>-59</v>
      </c>
      <c r="L131" s="365">
        <f t="shared" si="42"/>
        <v>-44</v>
      </c>
      <c r="M131" s="365">
        <f>L115-M115</f>
        <v>4.0821917808219155</v>
      </c>
      <c r="N131" s="365">
        <f t="shared" ref="N131:Q131" si="43">M115-N115</f>
        <v>-19.589643835616357</v>
      </c>
      <c r="O131" s="365">
        <f t="shared" si="43"/>
        <v>-110.30946164383562</v>
      </c>
      <c r="P131" s="365">
        <f t="shared" si="43"/>
        <v>-86.601813928767001</v>
      </c>
      <c r="Q131" s="365">
        <f t="shared" si="43"/>
        <v>-128.59888658054797</v>
      </c>
      <c r="R131" s="365" t="s">
        <v>681</v>
      </c>
      <c r="S131"/>
      <c r="T131"/>
      <c r="U131"/>
      <c r="V131"/>
      <c r="W131"/>
      <c r="X131"/>
      <c r="Y131"/>
      <c r="Z131"/>
      <c r="AA131"/>
      <c r="AB131"/>
    </row>
    <row r="132" spans="1:32" x14ac:dyDescent="0.2">
      <c r="A132" s="16" t="s">
        <v>140</v>
      </c>
      <c r="B132" s="363" t="s">
        <v>103</v>
      </c>
      <c r="C132" s="364"/>
      <c r="D132" s="364"/>
      <c r="E132" s="364"/>
      <c r="F132" s="364"/>
      <c r="G132" s="364"/>
      <c r="H132" s="365">
        <f t="shared" ref="H132" si="44">H116-G116</f>
        <v>-4.8000000000000114</v>
      </c>
      <c r="I132" s="365">
        <f t="shared" ref="I132" si="45">I116-H116</f>
        <v>105</v>
      </c>
      <c r="J132" s="365">
        <f t="shared" ref="J132" si="46">J116-I116</f>
        <v>110</v>
      </c>
      <c r="K132" s="365">
        <f t="shared" ref="K132" si="47">K116-J116</f>
        <v>78</v>
      </c>
      <c r="L132" s="365">
        <f t="shared" ref="L132" si="48">L116-K116</f>
        <v>89</v>
      </c>
      <c r="M132" s="365">
        <f>M116-L116</f>
        <v>-62.712328767123381</v>
      </c>
      <c r="N132" s="365">
        <f t="shared" ref="N132" si="49">N116-M116</f>
        <v>15.21437917808214</v>
      </c>
      <c r="O132" s="365">
        <f t="shared" ref="O132" si="50">O116-N116</f>
        <v>115.51967901369869</v>
      </c>
      <c r="P132" s="365">
        <f t="shared" ref="P132" si="51">P116-O116</f>
        <v>96.36420022619177</v>
      </c>
      <c r="Q132" s="365">
        <f t="shared" ref="Q132" si="52">Q116-P116</f>
        <v>143.09548834053692</v>
      </c>
      <c r="R132" s="365" t="s">
        <v>680</v>
      </c>
      <c r="S132"/>
      <c r="T132"/>
      <c r="U132"/>
      <c r="V132"/>
      <c r="W132"/>
      <c r="X132"/>
      <c r="Y132"/>
      <c r="Z132"/>
      <c r="AA132"/>
      <c r="AB132"/>
    </row>
    <row r="133" spans="1:32" x14ac:dyDescent="0.2">
      <c r="A133" s="16" t="s">
        <v>140</v>
      </c>
      <c r="B133" s="363" t="s">
        <v>715</v>
      </c>
      <c r="C133" s="364"/>
      <c r="D133" s="364"/>
      <c r="E133" s="364"/>
      <c r="F133" s="364"/>
      <c r="G133" s="364"/>
      <c r="H133" s="365">
        <f t="shared" ref="H133:L133" si="53">G117-H117</f>
        <v>-40.499999999999986</v>
      </c>
      <c r="I133" s="365">
        <f t="shared" si="53"/>
        <v>-78.400000000000006</v>
      </c>
      <c r="J133" s="365">
        <f t="shared" si="53"/>
        <v>14</v>
      </c>
      <c r="K133" s="365">
        <f t="shared" si="53"/>
        <v>13</v>
      </c>
      <c r="L133" s="365">
        <f t="shared" si="53"/>
        <v>7</v>
      </c>
      <c r="M133" s="365">
        <f>L117-M117</f>
        <v>-158.3808746578602</v>
      </c>
      <c r="N133" s="365">
        <f t="shared" ref="N133:Q133" si="54">M117-N117</f>
        <v>-13.993114010364366</v>
      </c>
      <c r="O133" s="365">
        <f t="shared" si="54"/>
        <v>-78.79535157232965</v>
      </c>
      <c r="P133" s="365">
        <f t="shared" si="54"/>
        <v>-61.860698743605894</v>
      </c>
      <c r="Q133" s="365">
        <f t="shared" si="54"/>
        <v>-91.859703863314621</v>
      </c>
      <c r="R133" s="365" t="s">
        <v>681</v>
      </c>
      <c r="S133"/>
      <c r="T133"/>
      <c r="U133"/>
      <c r="V133"/>
      <c r="W133"/>
      <c r="X133"/>
      <c r="Y133"/>
      <c r="Z133"/>
      <c r="AA133"/>
      <c r="AB133"/>
    </row>
    <row r="134" spans="1:32" x14ac:dyDescent="0.2">
      <c r="B134" s="366" t="s">
        <v>683</v>
      </c>
      <c r="C134" s="364"/>
      <c r="D134" s="364"/>
      <c r="E134" s="364"/>
      <c r="F134" s="364"/>
      <c r="G134" s="364"/>
      <c r="H134" s="365">
        <f t="shared" ref="H134:Q134" si="55">H118-G118</f>
        <v>19.800000000000011</v>
      </c>
      <c r="I134" s="365">
        <f t="shared" si="55"/>
        <v>7.0999999999999943</v>
      </c>
      <c r="J134" s="365">
        <f t="shared" si="55"/>
        <v>7</v>
      </c>
      <c r="K134" s="365">
        <f t="shared" si="55"/>
        <v>35</v>
      </c>
      <c r="L134" s="365">
        <f t="shared" si="55"/>
        <v>15</v>
      </c>
      <c r="M134" s="365">
        <f t="shared" si="55"/>
        <v>25.399999999999977</v>
      </c>
      <c r="N134" s="365">
        <f t="shared" si="55"/>
        <v>5.5532483999999727</v>
      </c>
      <c r="O134" s="365">
        <f t="shared" si="55"/>
        <v>42.16468284000004</v>
      </c>
      <c r="P134" s="365">
        <f t="shared" si="55"/>
        <v>35.172933082559979</v>
      </c>
      <c r="Q134" s="365">
        <f t="shared" si="55"/>
        <v>52.229853244295953</v>
      </c>
      <c r="R134" s="365" t="s">
        <v>680</v>
      </c>
      <c r="S134"/>
      <c r="T134"/>
      <c r="U134"/>
      <c r="V134"/>
      <c r="W134"/>
      <c r="X134"/>
      <c r="Y134"/>
      <c r="Z134"/>
      <c r="AA134"/>
      <c r="AB134"/>
    </row>
    <row r="135" spans="1:32" x14ac:dyDescent="0.2">
      <c r="B135" s="20" t="s">
        <v>401</v>
      </c>
      <c r="C135"/>
      <c r="D135"/>
      <c r="E135"/>
      <c r="F135"/>
      <c r="G135"/>
      <c r="M135" s="43">
        <f ca="1">SUM(M127:M134)</f>
        <v>-44.391833561969804</v>
      </c>
      <c r="N135" s="43">
        <f>SUM(N127:N134)</f>
        <v>28.520057677306681</v>
      </c>
      <c r="O135" s="43">
        <f>SUM(O127:O134)</f>
        <v>154.90912017178007</v>
      </c>
      <c r="P135" s="43">
        <f>SUM(P127:P134)</f>
        <v>120.53531801785815</v>
      </c>
      <c r="Q135" s="43">
        <f>SUM(Q127:Q134)</f>
        <v>178.98825656791252</v>
      </c>
      <c r="R135" s="171"/>
      <c r="S135"/>
      <c r="T135"/>
      <c r="U135"/>
      <c r="V135"/>
      <c r="W135"/>
      <c r="X135"/>
      <c r="Y135"/>
      <c r="Z135"/>
      <c r="AA135"/>
      <c r="AB135"/>
    </row>
    <row r="136" spans="1:32" x14ac:dyDescent="0.2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32" x14ac:dyDescent="0.2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32" x14ac:dyDescent="0.2">
      <c r="B138"/>
      <c r="C138"/>
      <c r="D138"/>
      <c r="E138"/>
      <c r="F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32" x14ac:dyDescent="0.2">
      <c r="R139"/>
      <c r="S139"/>
      <c r="T139"/>
      <c r="U139"/>
      <c r="V139"/>
      <c r="W139"/>
      <c r="X139"/>
      <c r="Y139"/>
      <c r="Z139"/>
      <c r="AA139"/>
      <c r="AB139"/>
    </row>
    <row r="140" spans="1:32" x14ac:dyDescent="0.2">
      <c r="R140"/>
      <c r="S140"/>
      <c r="T140"/>
      <c r="U140"/>
      <c r="V140"/>
      <c r="W140"/>
      <c r="X140"/>
      <c r="Y140"/>
      <c r="Z140"/>
      <c r="AA140"/>
      <c r="AB140"/>
    </row>
    <row r="141" spans="1:32" x14ac:dyDescent="0.2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32" x14ac:dyDescent="0.2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32" x14ac:dyDescent="0.2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32" x14ac:dyDescent="0.2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2:28" x14ac:dyDescent="0.2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2:28" x14ac:dyDescent="0.2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2:28" x14ac:dyDescent="0.2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2:28" x14ac:dyDescent="0.2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2:28" x14ac:dyDescent="0.2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2:28" x14ac:dyDescent="0.2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2:28" x14ac:dyDescent="0.2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2:28" x14ac:dyDescent="0.2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2:28" x14ac:dyDescent="0.2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2:28" x14ac:dyDescent="0.2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2:28" x14ac:dyDescent="0.2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2:28" x14ac:dyDescent="0.2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2:28" x14ac:dyDescent="0.2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2:28" x14ac:dyDescent="0.2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2:28" x14ac:dyDescent="0.2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2:28" x14ac:dyDescent="0.2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2:28" x14ac:dyDescent="0.2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2:28" x14ac:dyDescent="0.2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2:28" x14ac:dyDescent="0.2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2:28" x14ac:dyDescent="0.2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2:28" x14ac:dyDescent="0.2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2:28" x14ac:dyDescent="0.2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</sheetData>
  <dataValidations count="3">
    <dataValidation type="list" allowBlank="1" showInputMessage="1" showErrorMessage="1" sqref="E9" xr:uid="{A103B45E-D8F8-3145-AF2D-605F6826DCC6}">
      <formula1>"1, 2, 3, 4"</formula1>
    </dataValidation>
    <dataValidation type="list" allowBlank="1" showInputMessage="1" showErrorMessage="1" sqref="V12:V13" xr:uid="{AA59F0C9-ED61-D44A-B501-57C523C3D37D}">
      <formula1>"1, 2, 3,"</formula1>
    </dataValidation>
    <dataValidation type="list" allowBlank="1" showInputMessage="1" showErrorMessage="1" sqref="V4 V6:V9 V11" xr:uid="{C7954F00-4B22-5642-AECA-29CC953784AF}">
      <formula1>"1,2,3,4"</formula1>
    </dataValidation>
  </dataValidations>
  <pageMargins left="0.7" right="0.7" top="0.75" bottom="0.75" header="0.3" footer="0.3"/>
  <pageSetup paperSize="9" orientation="portrait" horizontalDpi="0" verticalDpi="0"/>
  <ignoredErrors>
    <ignoredError sqref="M13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8E7E-51B0-784D-B53F-C52AC6BC712D}">
  <dimension ref="A1:AC157"/>
  <sheetViews>
    <sheetView showGridLines="0" zoomScale="89" workbookViewId="0">
      <selection activeCell="K50" sqref="K50"/>
    </sheetView>
  </sheetViews>
  <sheetFormatPr baseColWidth="10" defaultRowHeight="16" x14ac:dyDescent="0.2"/>
  <cols>
    <col min="3" max="3" width="18.1640625" customWidth="1"/>
    <col min="8" max="17" width="11.5" bestFit="1" customWidth="1"/>
  </cols>
  <sheetData>
    <row r="1" spans="1:25" ht="25" thickBot="1" x14ac:dyDescent="0.35">
      <c r="A1" s="10" t="str">
        <f>_xlfn.CONCAT(Inputs!C7, " - ", "Debt &amp; Cash", " - ", "in ", Inputs!C9, " ", Inputs!C10)</f>
        <v>HAG - Debt &amp; Cash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5" ht="17" thickTop="1" x14ac:dyDescent="0.2">
      <c r="S2" t="s">
        <v>299</v>
      </c>
      <c r="U2" t="s">
        <v>262</v>
      </c>
    </row>
    <row r="3" spans="1:25" x14ac:dyDescent="0.2">
      <c r="Q3" s="13" t="s">
        <v>284</v>
      </c>
      <c r="S3" s="62">
        <v>1</v>
      </c>
    </row>
    <row r="4" spans="1:25" x14ac:dyDescent="0.2">
      <c r="B4" t="s">
        <v>9</v>
      </c>
      <c r="D4" s="7"/>
      <c r="E4" s="9">
        <f>EDATE(Inputs!$C$8, E5*12)</f>
        <v>43830</v>
      </c>
      <c r="F4" s="9">
        <f>EDATE(Inputs!$C$8, F5*12)</f>
        <v>44196</v>
      </c>
      <c r="G4" s="9">
        <f>EDATE(Inputs!$C$8, G5*12)</f>
        <v>44561</v>
      </c>
      <c r="H4" s="9">
        <f>EDATE(Inputs!$C$8, H5*12)</f>
        <v>44926</v>
      </c>
      <c r="I4" s="9">
        <f>EDATE(Inputs!$C$8, I5*12)</f>
        <v>45291</v>
      </c>
      <c r="J4" s="9">
        <f>EDATE(Inputs!$C$8, J5*12)</f>
        <v>45657</v>
      </c>
      <c r="K4" s="9">
        <f>EDATE(Inputs!$C$8, K5*12)</f>
        <v>46022</v>
      </c>
      <c r="L4" s="9">
        <f>EDATE(Inputs!$C$8, L5*12)</f>
        <v>46387</v>
      </c>
      <c r="M4" s="9">
        <f>EDATE(Inputs!$C$8, M5*12)</f>
        <v>46752</v>
      </c>
      <c r="N4" s="9">
        <f>EDATE(Inputs!$C$8, N5*12)</f>
        <v>47118</v>
      </c>
      <c r="O4" s="9">
        <f>EDATE(Inputs!$C$8, O5*12)</f>
        <v>47483</v>
      </c>
      <c r="Q4" s="13" t="s">
        <v>283</v>
      </c>
      <c r="S4" s="62">
        <f>Inputs!AA8</f>
        <v>1</v>
      </c>
      <c r="U4" s="62">
        <f>Inputs!AC8</f>
        <v>2</v>
      </c>
    </row>
    <row r="5" spans="1:25" x14ac:dyDescent="0.2">
      <c r="B5" t="s">
        <v>10</v>
      </c>
      <c r="D5" s="8"/>
      <c r="E5" s="8">
        <v>-5</v>
      </c>
      <c r="F5" s="8">
        <v>-4</v>
      </c>
      <c r="G5" s="8">
        <v>-3</v>
      </c>
      <c r="H5" s="8">
        <v>-2</v>
      </c>
      <c r="I5" s="8">
        <v>-1</v>
      </c>
      <c r="J5" s="8">
        <v>0</v>
      </c>
      <c r="K5" s="8">
        <v>1</v>
      </c>
      <c r="L5" s="8">
        <v>2</v>
      </c>
      <c r="M5" s="8">
        <v>3</v>
      </c>
      <c r="N5" s="8">
        <v>4</v>
      </c>
      <c r="O5" s="8">
        <v>5</v>
      </c>
      <c r="Q5" s="13" t="s">
        <v>285</v>
      </c>
      <c r="S5" s="133">
        <f>Inputs!AA9</f>
        <v>2</v>
      </c>
    </row>
    <row r="6" spans="1:25" x14ac:dyDescent="0.2">
      <c r="B6" t="s">
        <v>11</v>
      </c>
      <c r="D6" s="8"/>
      <c r="E6" s="8" t="str">
        <f>_xlfn.CONCAT(Inputs!$C$9, " ", Inputs!$C$10)</f>
        <v>Euro millions</v>
      </c>
      <c r="F6" s="8" t="str">
        <f>_xlfn.CONCAT(Inputs!$C$9, " ", Inputs!$C$10)</f>
        <v>Euro millions</v>
      </c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O6" s="8" t="str">
        <f>_xlfn.CONCAT(Inputs!$C$9, " ", Inputs!$C$10)</f>
        <v>Euro millions</v>
      </c>
      <c r="Q6" s="13" t="s">
        <v>314</v>
      </c>
      <c r="S6" s="62">
        <f>Inputs!AA10</f>
        <v>2</v>
      </c>
    </row>
    <row r="7" spans="1:25" x14ac:dyDescent="0.2">
      <c r="B7" t="s">
        <v>12</v>
      </c>
      <c r="D7" s="8"/>
      <c r="E7" s="8" t="str">
        <f>IF(E5&lt;=0, "Historical", "Forecasted")</f>
        <v>Historical</v>
      </c>
      <c r="F7" s="8" t="str">
        <f>IF(F5&lt;=0, "Historical", "Forecasted")</f>
        <v>Historical</v>
      </c>
      <c r="G7" s="8" t="str">
        <f t="shared" ref="G7:O7" si="0">IF(G5&lt;=0, "Historical", "Forecasted")</f>
        <v>Historical</v>
      </c>
      <c r="H7" s="8" t="str">
        <f t="shared" si="0"/>
        <v>Historical</v>
      </c>
      <c r="I7" s="8" t="str">
        <f t="shared" si="0"/>
        <v>Historical</v>
      </c>
      <c r="J7" s="8" t="str">
        <f t="shared" si="0"/>
        <v>Historical</v>
      </c>
      <c r="K7" s="8" t="str">
        <f t="shared" si="0"/>
        <v>Forecasted</v>
      </c>
      <c r="L7" s="8" t="str">
        <f t="shared" si="0"/>
        <v>Forecasted</v>
      </c>
      <c r="M7" s="8" t="str">
        <f t="shared" si="0"/>
        <v>Forecasted</v>
      </c>
      <c r="N7" s="8" t="str">
        <f t="shared" si="0"/>
        <v>Forecasted</v>
      </c>
      <c r="O7" s="8" t="str">
        <f t="shared" si="0"/>
        <v>Forecasted</v>
      </c>
      <c r="Q7" s="13" t="s">
        <v>316</v>
      </c>
      <c r="S7" s="62">
        <f>Inputs!AA11</f>
        <v>4</v>
      </c>
    </row>
    <row r="9" spans="1:25" x14ac:dyDescent="0.2">
      <c r="B9" s="13" t="s">
        <v>169</v>
      </c>
      <c r="E9" s="43">
        <f>'IS Neu'!D24</f>
        <v>8.2000000000000952</v>
      </c>
      <c r="F9" s="43">
        <f>'IS Neu'!E24</f>
        <v>-64.499999999999915</v>
      </c>
      <c r="G9" s="43">
        <f>'IS Neu'!F24</f>
        <v>63</v>
      </c>
      <c r="H9" s="43">
        <f>'IS Neu'!G24</f>
        <v>81</v>
      </c>
      <c r="I9" s="43">
        <f>'IS Neu'!H24</f>
        <v>60</v>
      </c>
      <c r="J9" s="43">
        <f>'IS Neu'!I24</f>
        <v>104</v>
      </c>
      <c r="K9" s="238">
        <f>'IS Neu'!J24</f>
        <v>319.39086216000021</v>
      </c>
      <c r="L9" s="238">
        <f ca="1">'IS Neu'!K24</f>
        <v>345.59665597922111</v>
      </c>
      <c r="M9" s="238">
        <f ca="1">'IS Neu'!L24</f>
        <v>464.84431893281061</v>
      </c>
      <c r="N9" s="238">
        <f ca="1">'IS Neu'!M24</f>
        <v>556.05880896026133</v>
      </c>
      <c r="O9" s="238">
        <f ca="1">'IS Neu'!N24</f>
        <v>671.83982100696232</v>
      </c>
      <c r="Q9" s="13" t="s">
        <v>291</v>
      </c>
      <c r="S9" s="62">
        <f>Inputs!AA13</f>
        <v>2</v>
      </c>
    </row>
    <row r="10" spans="1:25" x14ac:dyDescent="0.2">
      <c r="Q10" s="13" t="s">
        <v>476</v>
      </c>
      <c r="S10" s="62">
        <f>Inputs!AA14</f>
        <v>1</v>
      </c>
    </row>
    <row r="11" spans="1:25" x14ac:dyDescent="0.2">
      <c r="B11" s="153" t="s">
        <v>267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5"/>
      <c r="Q11" s="13" t="s">
        <v>583</v>
      </c>
      <c r="S11" s="109">
        <f>Inputs!AA15</f>
        <v>0.3</v>
      </c>
    </row>
    <row r="12" spans="1:25" x14ac:dyDescent="0.2">
      <c r="B12" s="32" t="s">
        <v>506</v>
      </c>
      <c r="E12" s="63"/>
      <c r="F12" s="63">
        <f ca="1">'BS Neu'!E42+'BS Neu'!E49</f>
        <v>1216.3999999999999</v>
      </c>
      <c r="G12" s="63">
        <f ca="1">'BS Neu'!F42+'BS Neu'!F49</f>
        <v>953</v>
      </c>
      <c r="H12" s="63">
        <f ca="1">'BS Neu'!G42+'BS Neu'!G49</f>
        <v>793</v>
      </c>
      <c r="I12" s="63">
        <f ca="1">'BS Neu'!H42+'BS Neu'!H49</f>
        <v>862</v>
      </c>
      <c r="J12" s="63">
        <f ca="1">'BS Neu'!I42+'BS Neu'!I49</f>
        <v>1449</v>
      </c>
      <c r="K12" s="106">
        <f ca="1">J17</f>
        <v>1449</v>
      </c>
      <c r="L12" s="106">
        <f ca="1">K17</f>
        <v>1503.6717938680661</v>
      </c>
      <c r="M12" s="106">
        <f ca="1">L17</f>
        <v>1553.442158364905</v>
      </c>
      <c r="N12" s="106">
        <f ca="1">M17</f>
        <v>1638.6976339768091</v>
      </c>
      <c r="O12" s="140">
        <f ca="1">N17</f>
        <v>1742.9252402029376</v>
      </c>
    </row>
    <row r="13" spans="1:25" x14ac:dyDescent="0.2">
      <c r="B13" s="239" t="s">
        <v>481</v>
      </c>
      <c r="E13" s="63"/>
      <c r="F13" s="63">
        <v>97</v>
      </c>
      <c r="G13" s="63">
        <v>0</v>
      </c>
      <c r="H13" s="63">
        <v>0</v>
      </c>
      <c r="I13" s="63">
        <v>13</v>
      </c>
      <c r="J13" s="63"/>
      <c r="K13" s="106">
        <f>CHOOSE($S$3, K85,K157)</f>
        <v>0</v>
      </c>
      <c r="L13" s="106">
        <f>CHOOSE($S$3, L85,L157)</f>
        <v>0</v>
      </c>
      <c r="M13" s="106">
        <f>CHOOSE($S$3, M85,M157)</f>
        <v>990</v>
      </c>
      <c r="N13" s="106">
        <f>CHOOSE($S$3, N85,N157)</f>
        <v>0</v>
      </c>
      <c r="O13" s="106">
        <f>CHOOSE($S$3, O85,O157)</f>
        <v>0</v>
      </c>
      <c r="Q13" s="83" t="s">
        <v>434</v>
      </c>
      <c r="R13" s="84"/>
      <c r="S13" s="84"/>
      <c r="T13" s="84"/>
      <c r="U13" s="84"/>
      <c r="V13" s="84"/>
      <c r="W13" s="84"/>
      <c r="X13" s="84"/>
      <c r="Y13" s="85"/>
    </row>
    <row r="14" spans="1:25" x14ac:dyDescent="0.2">
      <c r="B14" s="239" t="s">
        <v>480</v>
      </c>
      <c r="E14" s="63"/>
      <c r="F14" s="63"/>
      <c r="G14" s="63"/>
      <c r="H14" s="63"/>
      <c r="I14" s="63"/>
      <c r="J14" s="63"/>
      <c r="K14" s="106">
        <f>K87</f>
        <v>110.88000000000001</v>
      </c>
      <c r="L14" s="106">
        <f>L87</f>
        <v>116.0281584</v>
      </c>
      <c r="M14" s="106">
        <f>M87</f>
        <v>145.01748491999999</v>
      </c>
      <c r="N14" s="106">
        <f>N87</f>
        <v>167.77644162047997</v>
      </c>
      <c r="O14" s="106">
        <f>O87</f>
        <v>201.57222901384796</v>
      </c>
      <c r="Q14" s="32" t="s">
        <v>536</v>
      </c>
      <c r="Y14" s="36"/>
    </row>
    <row r="15" spans="1:25" x14ac:dyDescent="0.2">
      <c r="B15" s="32" t="s">
        <v>482</v>
      </c>
      <c r="E15" s="63"/>
      <c r="F15" s="63"/>
      <c r="G15" s="63"/>
      <c r="H15" s="63"/>
      <c r="I15" s="63"/>
      <c r="J15" s="63"/>
      <c r="K15" s="107">
        <f>-K83</f>
        <v>-0.1</v>
      </c>
      <c r="L15" s="107">
        <f>-L83</f>
        <v>-8.3999999999999986</v>
      </c>
      <c r="M15" s="107">
        <f>-M83</f>
        <v>-990</v>
      </c>
      <c r="N15" s="107">
        <f>-N83</f>
        <v>0</v>
      </c>
      <c r="O15" s="107">
        <f>-O83</f>
        <v>0</v>
      </c>
      <c r="Q15" s="240" t="s">
        <v>537</v>
      </c>
      <c r="Y15" s="36"/>
    </row>
    <row r="16" spans="1:25" x14ac:dyDescent="0.2">
      <c r="B16" s="32" t="s">
        <v>483</v>
      </c>
      <c r="E16" s="63"/>
      <c r="F16" s="63"/>
      <c r="G16" s="63"/>
      <c r="H16" s="63"/>
      <c r="I16" s="63"/>
      <c r="J16" s="63"/>
      <c r="K16" s="106">
        <f>K88*-1</f>
        <v>-56.108206131934033</v>
      </c>
      <c r="L16" s="106">
        <f ca="1">L88*-1</f>
        <v>-57.857793903160832</v>
      </c>
      <c r="M16" s="106">
        <f ca="1">M88*-1</f>
        <v>-59.762009308095656</v>
      </c>
      <c r="N16" s="106">
        <f t="shared" ref="N16:O16" ca="1" si="1">N88*-1</f>
        <v>-63.548835394351478</v>
      </c>
      <c r="O16" s="106">
        <f t="shared" ca="1" si="1"/>
        <v>-68.548994838658658</v>
      </c>
      <c r="Q16" s="51"/>
      <c r="Y16" s="36"/>
    </row>
    <row r="17" spans="2:28" x14ac:dyDescent="0.2">
      <c r="B17" s="39" t="s">
        <v>273</v>
      </c>
      <c r="C17" s="15"/>
      <c r="D17" s="15"/>
      <c r="E17" s="154"/>
      <c r="F17" s="154">
        <f t="shared" ref="F17:K17" ca="1" si="2">SUM(F12:F16)</f>
        <v>1313.3999999999999</v>
      </c>
      <c r="G17" s="154">
        <f t="shared" ca="1" si="2"/>
        <v>953</v>
      </c>
      <c r="H17" s="154">
        <f t="shared" ca="1" si="2"/>
        <v>793</v>
      </c>
      <c r="I17" s="154">
        <f t="shared" ca="1" si="2"/>
        <v>875</v>
      </c>
      <c r="J17" s="154">
        <f t="shared" ca="1" si="2"/>
        <v>1449</v>
      </c>
      <c r="K17" s="155">
        <f t="shared" ca="1" si="2"/>
        <v>1503.6717938680661</v>
      </c>
      <c r="L17" s="155">
        <f t="shared" ref="L17:O17" ca="1" si="3">SUM(L12:L16)</f>
        <v>1553.442158364905</v>
      </c>
      <c r="M17" s="155">
        <f t="shared" ca="1" si="3"/>
        <v>1638.6976339768091</v>
      </c>
      <c r="N17" s="155">
        <f t="shared" ca="1" si="3"/>
        <v>1742.9252402029376</v>
      </c>
      <c r="O17" s="155">
        <f t="shared" ca="1" si="3"/>
        <v>1875.948474378127</v>
      </c>
      <c r="Q17" s="32" t="s">
        <v>321</v>
      </c>
      <c r="S17" t="s">
        <v>306</v>
      </c>
      <c r="V17" s="273">
        <v>2.8000000000000001E-2</v>
      </c>
      <c r="Y17" s="36"/>
    </row>
    <row r="18" spans="2:28" x14ac:dyDescent="0.2">
      <c r="Q18" s="86" t="s">
        <v>312</v>
      </c>
      <c r="R18" s="22"/>
      <c r="S18" s="22"/>
      <c r="T18" s="22"/>
      <c r="U18" s="22"/>
      <c r="V18" s="22" t="s">
        <v>311</v>
      </c>
      <c r="W18" s="22"/>
      <c r="X18" s="22"/>
      <c r="Y18" s="87"/>
    </row>
    <row r="19" spans="2:28" x14ac:dyDescent="0.2">
      <c r="B19" s="153" t="s">
        <v>268</v>
      </c>
      <c r="C19" s="84" t="s">
        <v>310</v>
      </c>
      <c r="D19" s="62">
        <v>115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5"/>
      <c r="Q19" s="13"/>
    </row>
    <row r="20" spans="2:28" x14ac:dyDescent="0.2">
      <c r="B20" s="32" t="s">
        <v>274</v>
      </c>
      <c r="E20" s="63"/>
      <c r="F20" s="63">
        <f>'IS Neu'!E24</f>
        <v>-64.499999999999915</v>
      </c>
      <c r="G20" s="63">
        <f>'IS Neu'!F24</f>
        <v>63</v>
      </c>
      <c r="H20" s="63">
        <f>'IS Neu'!G24</f>
        <v>81</v>
      </c>
      <c r="I20" s="63">
        <f>'IS Neu'!H24</f>
        <v>60</v>
      </c>
      <c r="J20" s="63">
        <f>'IS Neu'!I24</f>
        <v>104</v>
      </c>
      <c r="K20" s="108">
        <f>'IS Neu'!J24</f>
        <v>319.39086216000021</v>
      </c>
      <c r="L20" s="108">
        <f ca="1">'IS Neu'!K24</f>
        <v>345.59665597922111</v>
      </c>
      <c r="M20" s="108">
        <f ca="1">'IS Neu'!L24</f>
        <v>464.84431893281061</v>
      </c>
      <c r="N20" s="108">
        <f ca="1">'IS Neu'!M24</f>
        <v>556.05880896026133</v>
      </c>
      <c r="O20" s="141">
        <f ca="1">'IS Neu'!N24</f>
        <v>671.83982100696232</v>
      </c>
      <c r="Q20" s="13"/>
    </row>
    <row r="21" spans="2:28" x14ac:dyDescent="0.2">
      <c r="B21" s="32" t="s">
        <v>288</v>
      </c>
      <c r="E21" s="63"/>
      <c r="F21" s="76">
        <v>0</v>
      </c>
      <c r="G21" s="76">
        <v>0.13</v>
      </c>
      <c r="H21" s="76">
        <v>0.25</v>
      </c>
      <c r="I21" s="76">
        <v>0.3</v>
      </c>
      <c r="J21" s="76">
        <v>0.4</v>
      </c>
      <c r="K21" s="136">
        <f>K25/$D$19</f>
        <v>1.1942440932939138</v>
      </c>
      <c r="L21" s="136">
        <f ca="1">L25/$D$19</f>
        <v>1.3523347407882564</v>
      </c>
      <c r="M21" s="136">
        <f ca="1">M25/$D$19</f>
        <v>1.8997985208558348</v>
      </c>
      <c r="N21" s="136">
        <f ca="1">N25/$D$19</f>
        <v>2.3692940555698092</v>
      </c>
      <c r="O21" s="156">
        <f ca="1">O25/$D$19</f>
        <v>2.9794635540308763</v>
      </c>
    </row>
    <row r="22" spans="2:28" x14ac:dyDescent="0.2">
      <c r="B22" s="32" t="s">
        <v>289</v>
      </c>
      <c r="E22" s="63"/>
      <c r="F22" s="157">
        <f>F25/F20</f>
        <v>0</v>
      </c>
      <c r="G22" s="157">
        <f>G25/G20</f>
        <v>0.22222222222222221</v>
      </c>
      <c r="H22" s="157">
        <f>H25/H20</f>
        <v>0.32098765432098764</v>
      </c>
      <c r="I22" s="157">
        <f>I25/I20</f>
        <v>0.53333333333333333</v>
      </c>
      <c r="J22" s="157">
        <f>J25/J20</f>
        <v>0.44230769230769229</v>
      </c>
      <c r="K22" s="105">
        <f>K91</f>
        <v>0.43</v>
      </c>
      <c r="L22" s="105">
        <f>L91</f>
        <v>0.45</v>
      </c>
      <c r="M22" s="105">
        <f>M91</f>
        <v>0.47</v>
      </c>
      <c r="N22" s="105">
        <f>N91</f>
        <v>0.49</v>
      </c>
      <c r="O22" s="158">
        <f>O91</f>
        <v>0.51</v>
      </c>
    </row>
    <row r="23" spans="2:28" x14ac:dyDescent="0.2">
      <c r="B23" s="32" t="s">
        <v>300</v>
      </c>
      <c r="E23" s="63"/>
      <c r="F23" s="157"/>
      <c r="G23" s="157"/>
      <c r="H23" s="157"/>
      <c r="I23" s="157"/>
      <c r="J23" s="157"/>
      <c r="K23" s="108">
        <f>K96*115</f>
        <v>48.300000000000004</v>
      </c>
      <c r="L23" s="108">
        <f>L96*115</f>
        <v>50.715000000000003</v>
      </c>
      <c r="M23" s="108">
        <f>M96*115</f>
        <v>53.250750000000011</v>
      </c>
      <c r="N23" s="108">
        <f>N96*115</f>
        <v>55.91328750000001</v>
      </c>
      <c r="O23" s="141">
        <f>O96*115</f>
        <v>58.708951875000018</v>
      </c>
    </row>
    <row r="24" spans="2:28" x14ac:dyDescent="0.2">
      <c r="B24" s="32" t="s">
        <v>301</v>
      </c>
      <c r="E24" s="63"/>
      <c r="F24" s="63"/>
      <c r="G24" s="63"/>
      <c r="H24" s="63"/>
      <c r="I24" s="63"/>
      <c r="J24" s="63"/>
      <c r="K24" s="136">
        <f>K22*K20</f>
        <v>137.33807072880009</v>
      </c>
      <c r="L24" s="136">
        <f ca="1">L22*L20</f>
        <v>155.5184951906495</v>
      </c>
      <c r="M24" s="136">
        <f ca="1">M22*M20</f>
        <v>218.47682989842099</v>
      </c>
      <c r="N24" s="136">
        <f ca="1">N22*N20</f>
        <v>272.46881639052805</v>
      </c>
      <c r="O24" s="156">
        <f ca="1">O22*O20</f>
        <v>342.63830871355077</v>
      </c>
      <c r="Q24" s="83" t="s">
        <v>530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5"/>
    </row>
    <row r="25" spans="2:28" x14ac:dyDescent="0.2">
      <c r="B25" s="39" t="s">
        <v>275</v>
      </c>
      <c r="C25" s="14"/>
      <c r="D25" s="14"/>
      <c r="E25" s="159"/>
      <c r="F25" s="159">
        <v>0</v>
      </c>
      <c r="G25" s="159">
        <v>14</v>
      </c>
      <c r="H25" s="159">
        <v>26</v>
      </c>
      <c r="I25" s="159">
        <v>32</v>
      </c>
      <c r="J25" s="159">
        <v>46</v>
      </c>
      <c r="K25" s="160">
        <f>IF($S$4=1, K24, K23)</f>
        <v>137.33807072880009</v>
      </c>
      <c r="L25" s="160">
        <f t="shared" ref="L25:O25" ca="1" si="4">IF($S$4=1, L24, L23)</f>
        <v>155.5184951906495</v>
      </c>
      <c r="M25" s="160">
        <f t="shared" ca="1" si="4"/>
        <v>218.47682989842099</v>
      </c>
      <c r="N25" s="160">
        <f t="shared" ca="1" si="4"/>
        <v>272.46881639052805</v>
      </c>
      <c r="O25" s="160">
        <f t="shared" ca="1" si="4"/>
        <v>342.63830871355077</v>
      </c>
      <c r="Q25" s="32" t="s">
        <v>533</v>
      </c>
      <c r="AB25" s="36"/>
    </row>
    <row r="26" spans="2:28" x14ac:dyDescent="0.2">
      <c r="Q26" s="32" t="s">
        <v>534</v>
      </c>
      <c r="AB26" s="36"/>
    </row>
    <row r="27" spans="2:28" x14ac:dyDescent="0.2">
      <c r="B27" s="153" t="s">
        <v>269</v>
      </c>
      <c r="C27" s="84"/>
      <c r="D27" s="84" t="s">
        <v>515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5"/>
      <c r="Q27" s="86" t="s">
        <v>535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87"/>
    </row>
    <row r="28" spans="2:28" x14ac:dyDescent="0.2">
      <c r="B28" s="51" t="s">
        <v>267</v>
      </c>
      <c r="E28" s="63"/>
      <c r="F28" s="63"/>
      <c r="G28" s="63"/>
      <c r="H28" s="63"/>
      <c r="I28" s="63"/>
      <c r="J28" s="63"/>
      <c r="K28" s="234">
        <f>SUM(K29:K35)</f>
        <v>60.20552</v>
      </c>
      <c r="L28" s="235">
        <f t="shared" ref="L28:O28" si="5">SUM(L29:L35)</f>
        <v>60.203879999999998</v>
      </c>
      <c r="M28" s="235">
        <f t="shared" si="5"/>
        <v>60.157499999999999</v>
      </c>
      <c r="N28" s="235">
        <f t="shared" si="5"/>
        <v>42.866999999999997</v>
      </c>
      <c r="O28" s="236">
        <f t="shared" si="5"/>
        <v>42.866999999999997</v>
      </c>
    </row>
    <row r="29" spans="2:28" x14ac:dyDescent="0.2">
      <c r="B29" s="32" t="s">
        <v>516</v>
      </c>
      <c r="E29" s="63"/>
      <c r="F29" s="157"/>
      <c r="G29" s="157"/>
      <c r="H29" s="157"/>
      <c r="I29" s="157"/>
      <c r="J29" s="246">
        <v>620</v>
      </c>
      <c r="K29" s="260">
        <f>$J$29*0.0566</f>
        <v>35.091999999999999</v>
      </c>
      <c r="L29" s="260">
        <f t="shared" ref="L29:M29" si="6">$J$29*0.0566</f>
        <v>35.091999999999999</v>
      </c>
      <c r="M29" s="260">
        <f t="shared" si="6"/>
        <v>35.091999999999999</v>
      </c>
      <c r="N29" s="260">
        <v>0</v>
      </c>
      <c r="O29" s="260">
        <v>0</v>
      </c>
    </row>
    <row r="30" spans="2:28" x14ac:dyDescent="0.2">
      <c r="B30" s="32" t="s">
        <v>517</v>
      </c>
      <c r="E30" s="63"/>
      <c r="F30" s="63"/>
      <c r="G30" s="63"/>
      <c r="H30" s="63"/>
      <c r="I30" s="63"/>
      <c r="J30" s="63">
        <v>450</v>
      </c>
      <c r="K30" s="253">
        <f>$J$30*0.0545</f>
        <v>24.524999999999999</v>
      </c>
      <c r="L30" s="253">
        <f t="shared" ref="L30:M30" si="7">$J$30*0.0545</f>
        <v>24.524999999999999</v>
      </c>
      <c r="M30" s="253">
        <f t="shared" si="7"/>
        <v>24.524999999999999</v>
      </c>
      <c r="N30" s="253">
        <v>0</v>
      </c>
      <c r="O30" s="253">
        <v>0</v>
      </c>
      <c r="Q30" s="83" t="s">
        <v>538</v>
      </c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</row>
    <row r="31" spans="2:28" x14ac:dyDescent="0.2">
      <c r="B31" s="32" t="s">
        <v>518</v>
      </c>
      <c r="E31" s="63"/>
      <c r="F31" s="63"/>
      <c r="G31" s="63"/>
      <c r="H31" s="63"/>
      <c r="I31" s="63"/>
      <c r="J31" s="149">
        <v>4.5999999999999996</v>
      </c>
      <c r="K31" s="253">
        <f>$J$31*0.1175</f>
        <v>0.54049999999999998</v>
      </c>
      <c r="L31" s="253">
        <f t="shared" ref="L31:M31" si="8">$J$31*0.1175</f>
        <v>0.54049999999999998</v>
      </c>
      <c r="M31" s="253">
        <f t="shared" si="8"/>
        <v>0.54049999999999998</v>
      </c>
      <c r="N31" s="253">
        <v>0</v>
      </c>
      <c r="O31" s="253">
        <v>0</v>
      </c>
      <c r="Q31" s="32" t="s">
        <v>543</v>
      </c>
      <c r="AB31" s="36"/>
    </row>
    <row r="32" spans="2:28" x14ac:dyDescent="0.2">
      <c r="B32" s="32" t="s">
        <v>519</v>
      </c>
      <c r="E32" s="63"/>
      <c r="F32" s="63"/>
      <c r="G32" s="63"/>
      <c r="H32" s="63"/>
      <c r="I32" s="63"/>
      <c r="J32" s="149">
        <v>0.1</v>
      </c>
      <c r="K32" s="254">
        <f>J32*0.0164</f>
        <v>1.6400000000000002E-3</v>
      </c>
      <c r="L32" s="253">
        <v>0</v>
      </c>
      <c r="M32" s="253">
        <v>0</v>
      </c>
      <c r="N32" s="253">
        <v>0</v>
      </c>
      <c r="O32" s="253">
        <v>0</v>
      </c>
      <c r="Q32" s="32" t="s">
        <v>544</v>
      </c>
      <c r="AB32" s="36"/>
    </row>
    <row r="33" spans="2:28" x14ac:dyDescent="0.2">
      <c r="B33" s="32" t="s">
        <v>520</v>
      </c>
      <c r="E33" s="63"/>
      <c r="F33" s="63"/>
      <c r="G33" s="63"/>
      <c r="H33" s="63"/>
      <c r="I33" s="63"/>
      <c r="J33" s="63">
        <v>1</v>
      </c>
      <c r="K33" s="253">
        <f>$J$33*0.0209</f>
        <v>2.0899999999999998E-2</v>
      </c>
      <c r="L33" s="253">
        <f>$J$33*0.0209</f>
        <v>2.0899999999999998E-2</v>
      </c>
      <c r="M33" s="253">
        <v>0</v>
      </c>
      <c r="N33" s="253">
        <v>0</v>
      </c>
      <c r="O33" s="253">
        <v>0</v>
      </c>
      <c r="Q33" s="32" t="s">
        <v>545</v>
      </c>
      <c r="AB33" s="36"/>
    </row>
    <row r="34" spans="2:28" x14ac:dyDescent="0.2">
      <c r="B34" s="32" t="s">
        <v>521</v>
      </c>
      <c r="E34" s="63"/>
      <c r="F34" s="63"/>
      <c r="G34" s="63"/>
      <c r="H34" s="63"/>
      <c r="I34" s="63"/>
      <c r="J34" s="149">
        <v>2.8</v>
      </c>
      <c r="K34" s="253">
        <f>$J$34*0.0091</f>
        <v>2.5479999999999999E-2</v>
      </c>
      <c r="L34" s="253">
        <f>$J$34*0.0091</f>
        <v>2.5479999999999999E-2</v>
      </c>
      <c r="M34" s="253">
        <v>0</v>
      </c>
      <c r="N34" s="253">
        <v>0</v>
      </c>
      <c r="O34" s="253">
        <v>0</v>
      </c>
      <c r="Q34" s="86" t="s">
        <v>547</v>
      </c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87"/>
    </row>
    <row r="35" spans="2:28" x14ac:dyDescent="0.2">
      <c r="B35" s="32" t="s">
        <v>522</v>
      </c>
      <c r="E35" s="63"/>
      <c r="F35" s="157"/>
      <c r="G35" s="157"/>
      <c r="H35" s="157"/>
      <c r="I35" s="157"/>
      <c r="J35" s="246">
        <v>990</v>
      </c>
      <c r="K35" s="169"/>
      <c r="L35" s="169"/>
      <c r="M35" s="169"/>
      <c r="N35" s="255">
        <f>$J$35*N43</f>
        <v>42.866999999999997</v>
      </c>
      <c r="O35" s="255">
        <f>$J$35*O43</f>
        <v>42.866999999999997</v>
      </c>
      <c r="Q35" s="13"/>
    </row>
    <row r="36" spans="2:28" x14ac:dyDescent="0.2">
      <c r="B36" s="32" t="s">
        <v>523</v>
      </c>
      <c r="C36" s="22"/>
      <c r="D36" s="250">
        <f>Inputs!AA17</f>
        <v>1.7500000000000002E-2</v>
      </c>
      <c r="E36" s="144"/>
      <c r="F36" s="144"/>
      <c r="G36" s="144"/>
      <c r="H36" s="144"/>
      <c r="I36" s="144"/>
      <c r="J36" s="249"/>
      <c r="K36" s="247">
        <f>K70+$D$36</f>
        <v>3.7500000000000006E-2</v>
      </c>
      <c r="L36" s="247">
        <f>L70+$D$36</f>
        <v>3.5000000000000003E-2</v>
      </c>
      <c r="M36" s="247">
        <f>M70+$D$36</f>
        <v>3.2500000000000001E-2</v>
      </c>
      <c r="N36" s="247">
        <f>N70+$D$36</f>
        <v>3.2500000000000001E-2</v>
      </c>
      <c r="O36" s="247">
        <f>O70+$D$36</f>
        <v>3.2500000000000001E-2</v>
      </c>
    </row>
    <row r="37" spans="2:28" x14ac:dyDescent="0.2">
      <c r="B37" s="51" t="s">
        <v>524</v>
      </c>
      <c r="E37" s="63">
        <f>SUM(E38:E39)</f>
        <v>160.5</v>
      </c>
      <c r="F37" s="63">
        <f t="shared" ref="F37:J37" si="9">SUM(F38:F39)</f>
        <v>154</v>
      </c>
      <c r="G37" s="63">
        <f t="shared" si="9"/>
        <v>155</v>
      </c>
      <c r="H37" s="63">
        <f t="shared" si="9"/>
        <v>158</v>
      </c>
      <c r="I37" s="63">
        <f t="shared" si="9"/>
        <v>211</v>
      </c>
      <c r="J37" s="63">
        <f t="shared" si="9"/>
        <v>281</v>
      </c>
      <c r="K37" s="251"/>
      <c r="L37" s="251">
        <f ca="1">'FA-Forecast (updated)'!N49</f>
        <v>361.94215836490514</v>
      </c>
      <c r="M37" s="251">
        <f ca="1">'FA-Forecast (updated)'!O49</f>
        <v>447.19763397680947</v>
      </c>
      <c r="N37" s="251">
        <f ca="1">'FA-Forecast (updated)'!P49</f>
        <v>551.42524020293797</v>
      </c>
      <c r="O37" s="251">
        <f ca="1">'FA-Forecast (updated)'!Q49</f>
        <v>684.44847437812723</v>
      </c>
      <c r="Q37" s="83" t="s">
        <v>278</v>
      </c>
      <c r="R37" s="84"/>
      <c r="S37" s="84"/>
      <c r="T37" s="84"/>
      <c r="U37" s="84"/>
      <c r="V37" s="84"/>
      <c r="W37" s="84"/>
      <c r="X37" s="84"/>
      <c r="Y37" s="84"/>
      <c r="Z37" s="85"/>
    </row>
    <row r="38" spans="2:28" x14ac:dyDescent="0.2">
      <c r="B38" s="32" t="s">
        <v>525</v>
      </c>
      <c r="E38" s="63">
        <f>'BS Neu'!D107</f>
        <v>13</v>
      </c>
      <c r="F38" s="63">
        <f>'BS Neu'!E107</f>
        <v>13.7</v>
      </c>
      <c r="G38" s="63">
        <f>'BS Neu'!F107</f>
        <v>16</v>
      </c>
      <c r="H38" s="63">
        <f>'BS Neu'!G107</f>
        <v>18</v>
      </c>
      <c r="I38" s="63">
        <f>'BS Neu'!H107</f>
        <v>20</v>
      </c>
      <c r="J38" s="63">
        <f>'BS Neu'!I107</f>
        <v>25</v>
      </c>
      <c r="K38" s="105"/>
      <c r="L38" s="105"/>
      <c r="M38" s="105"/>
      <c r="N38" s="251"/>
      <c r="O38" s="251"/>
      <c r="Q38" s="32" t="s">
        <v>294</v>
      </c>
      <c r="U38" t="s">
        <v>317</v>
      </c>
      <c r="Z38" s="36"/>
    </row>
    <row r="39" spans="2:28" x14ac:dyDescent="0.2">
      <c r="B39" s="32" t="s">
        <v>526</v>
      </c>
      <c r="E39" s="63">
        <f>'BS Neu'!D98</f>
        <v>147.5</v>
      </c>
      <c r="F39" s="63">
        <f>'BS Neu'!E98</f>
        <v>140.30000000000001</v>
      </c>
      <c r="G39" s="63">
        <f>'BS Neu'!F98</f>
        <v>139</v>
      </c>
      <c r="H39" s="63">
        <f>'BS Neu'!G98</f>
        <v>140</v>
      </c>
      <c r="I39" s="63">
        <f>'BS Neu'!H98</f>
        <v>191</v>
      </c>
      <c r="J39" s="63">
        <f>'BS Neu'!I98</f>
        <v>256</v>
      </c>
      <c r="K39" s="105"/>
      <c r="L39" s="105"/>
      <c r="M39" s="105"/>
      <c r="N39" s="251"/>
      <c r="O39" s="251"/>
      <c r="Q39" s="32" t="s">
        <v>281</v>
      </c>
      <c r="Z39" s="36"/>
    </row>
    <row r="40" spans="2:28" x14ac:dyDescent="0.2">
      <c r="B40" s="32" t="s">
        <v>527</v>
      </c>
      <c r="E40" s="252">
        <v>10</v>
      </c>
      <c r="F40" s="252">
        <v>10</v>
      </c>
      <c r="G40" s="252">
        <v>10</v>
      </c>
      <c r="H40" s="252">
        <v>9</v>
      </c>
      <c r="I40" s="252">
        <v>11</v>
      </c>
      <c r="J40" s="252">
        <v>14</v>
      </c>
      <c r="K40" s="105"/>
      <c r="L40" s="105"/>
      <c r="M40" s="105"/>
      <c r="N40" s="251"/>
      <c r="O40" s="251"/>
      <c r="Q40" s="32" t="s">
        <v>318</v>
      </c>
      <c r="T40" t="s">
        <v>322</v>
      </c>
      <c r="Z40" s="36"/>
    </row>
    <row r="41" spans="2:28" x14ac:dyDescent="0.2">
      <c r="B41" s="32" t="s">
        <v>528</v>
      </c>
      <c r="E41" s="69">
        <f>E40/E37</f>
        <v>6.2305295950155763E-2</v>
      </c>
      <c r="F41" s="69">
        <f t="shared" ref="F41:J41" si="10">F40/F37</f>
        <v>6.4935064935064929E-2</v>
      </c>
      <c r="G41" s="69">
        <f t="shared" si="10"/>
        <v>6.4516129032258063E-2</v>
      </c>
      <c r="H41" s="69">
        <f t="shared" si="10"/>
        <v>5.6962025316455694E-2</v>
      </c>
      <c r="I41" s="69">
        <f t="shared" si="10"/>
        <v>5.2132701421800945E-2</v>
      </c>
      <c r="J41" s="69">
        <f t="shared" si="10"/>
        <v>4.9822064056939501E-2</v>
      </c>
      <c r="K41" s="105"/>
      <c r="L41" s="105"/>
      <c r="M41" s="105"/>
      <c r="N41" s="251"/>
      <c r="O41" s="251"/>
      <c r="Q41" s="32"/>
      <c r="Z41" s="36"/>
    </row>
    <row r="42" spans="2:28" x14ac:dyDescent="0.2">
      <c r="B42" s="32" t="s">
        <v>531</v>
      </c>
      <c r="E42" s="63"/>
      <c r="F42" s="157"/>
      <c r="G42" s="157"/>
      <c r="H42" s="157"/>
      <c r="I42" s="157"/>
      <c r="J42" s="246"/>
      <c r="K42" s="256">
        <f>K37*K43</f>
        <v>0</v>
      </c>
      <c r="L42" s="257">
        <f t="shared" ref="L42:O42" ca="1" si="11">L37*L43</f>
        <v>16.576950853112656</v>
      </c>
      <c r="M42" s="257">
        <f t="shared" ca="1" si="11"/>
        <v>19.36365755119585</v>
      </c>
      <c r="N42" s="257">
        <f t="shared" ca="1" si="11"/>
        <v>23.876712900787211</v>
      </c>
      <c r="O42" s="257">
        <f t="shared" ca="1" si="11"/>
        <v>29.636618940572909</v>
      </c>
      <c r="Q42" s="86" t="s">
        <v>319</v>
      </c>
      <c r="R42" s="22"/>
      <c r="S42" s="22"/>
      <c r="T42" s="22" t="s">
        <v>320</v>
      </c>
      <c r="U42" s="22"/>
      <c r="V42" s="22"/>
      <c r="W42" s="22"/>
      <c r="X42" s="22"/>
      <c r="Y42" s="22"/>
      <c r="Z42" s="87"/>
    </row>
    <row r="43" spans="2:28" x14ac:dyDescent="0.2">
      <c r="B43" s="32" t="s">
        <v>529</v>
      </c>
      <c r="D43" s="259">
        <f>Inputs!AA16</f>
        <v>2.8299999999999999E-2</v>
      </c>
      <c r="E43" s="63"/>
      <c r="F43" s="63"/>
      <c r="G43" s="63"/>
      <c r="H43" s="63"/>
      <c r="I43" s="63"/>
      <c r="J43" s="258"/>
      <c r="K43" s="261">
        <f>K70+$D$43</f>
        <v>4.8299999999999996E-2</v>
      </c>
      <c r="L43" s="261">
        <f>L70+$D$43</f>
        <v>4.58E-2</v>
      </c>
      <c r="M43" s="261">
        <f>M70+$D$43</f>
        <v>4.3299999999999998E-2</v>
      </c>
      <c r="N43" s="261">
        <f>N70+$D$43</f>
        <v>4.3299999999999998E-2</v>
      </c>
      <c r="O43" s="261">
        <f>O70+$D$43</f>
        <v>4.3299999999999998E-2</v>
      </c>
    </row>
    <row r="44" spans="2:28" ht="17" thickBot="1" x14ac:dyDescent="0.25">
      <c r="B44" s="262" t="s">
        <v>532</v>
      </c>
      <c r="C44" s="190"/>
      <c r="D44" s="263"/>
      <c r="E44" s="264"/>
      <c r="F44" s="264"/>
      <c r="G44" s="264"/>
      <c r="H44" s="264"/>
      <c r="I44" s="264"/>
      <c r="J44" s="263"/>
      <c r="K44" s="265">
        <f>(K42+K28)*-1</f>
        <v>-60.20552</v>
      </c>
      <c r="L44" s="265">
        <f t="shared" ref="L44:O44" ca="1" si="12">(L42+L28)*-1</f>
        <v>-76.780830853112661</v>
      </c>
      <c r="M44" s="265">
        <f t="shared" ca="1" si="12"/>
        <v>-79.521157551195842</v>
      </c>
      <c r="N44" s="265">
        <f t="shared" ca="1" si="12"/>
        <v>-66.743712900787216</v>
      </c>
      <c r="O44" s="265">
        <f t="shared" ca="1" si="12"/>
        <v>-72.503618940572906</v>
      </c>
      <c r="Q44" s="83" t="s">
        <v>492</v>
      </c>
      <c r="R44" s="84"/>
      <c r="S44" s="84"/>
      <c r="T44" s="84"/>
      <c r="U44" s="84"/>
      <c r="V44" s="84"/>
      <c r="W44" s="84"/>
      <c r="X44" s="84"/>
      <c r="Y44" s="84"/>
      <c r="Z44" s="84"/>
      <c r="AA44" s="85"/>
    </row>
    <row r="45" spans="2:28" ht="17" thickTop="1" x14ac:dyDescent="0.2">
      <c r="Q45" s="32" t="s">
        <v>493</v>
      </c>
      <c r="AA45" s="36"/>
    </row>
    <row r="46" spans="2:28" x14ac:dyDescent="0.2">
      <c r="B46" s="153" t="s">
        <v>270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5"/>
      <c r="Q46" s="32" t="s">
        <v>494</v>
      </c>
      <c r="AA46" s="36"/>
    </row>
    <row r="47" spans="2:28" x14ac:dyDescent="0.2">
      <c r="B47" s="32" t="s">
        <v>540</v>
      </c>
      <c r="E47" s="63"/>
      <c r="F47" s="63"/>
      <c r="G47" s="63"/>
      <c r="H47" s="63"/>
      <c r="I47" s="63"/>
      <c r="J47" s="63"/>
      <c r="K47" s="225">
        <f>J53*K50</f>
        <v>14.66</v>
      </c>
      <c r="L47" s="225">
        <f t="shared" ref="L47:N47" ca="1" si="13">K53*L50</f>
        <v>16.38381514770267</v>
      </c>
      <c r="M47" s="225">
        <f t="shared" ca="1" si="13"/>
        <v>17.048630998630379</v>
      </c>
      <c r="N47" s="225">
        <f t="shared" ca="1" si="13"/>
        <v>22.291033839193823</v>
      </c>
      <c r="O47" s="225">
        <f ca="1">N53*O50</f>
        <v>27.379228358292821</v>
      </c>
      <c r="Q47" s="32" t="s">
        <v>495</v>
      </c>
      <c r="AA47" s="36"/>
    </row>
    <row r="48" spans="2:28" x14ac:dyDescent="0.2">
      <c r="B48" s="32" t="s">
        <v>539</v>
      </c>
      <c r="E48" s="63"/>
      <c r="F48" s="63"/>
      <c r="G48" s="63"/>
      <c r="H48" s="63"/>
      <c r="I48" s="63"/>
      <c r="J48" s="63"/>
      <c r="K48" s="266">
        <v>10</v>
      </c>
      <c r="L48" s="266">
        <v>10</v>
      </c>
      <c r="M48" s="266">
        <v>10</v>
      </c>
      <c r="N48" s="266">
        <v>10</v>
      </c>
      <c r="O48" s="268">
        <v>10</v>
      </c>
      <c r="Q48" s="32" t="s">
        <v>496</v>
      </c>
      <c r="AA48" s="36"/>
    </row>
    <row r="49" spans="2:28" x14ac:dyDescent="0.2">
      <c r="B49" s="32" t="s">
        <v>541</v>
      </c>
      <c r="E49" s="63"/>
      <c r="F49" s="63"/>
      <c r="G49" s="63"/>
      <c r="H49" s="63"/>
      <c r="I49" s="63"/>
      <c r="J49" s="63"/>
      <c r="K49" s="225">
        <f>IF($S$7=1,4,IF($S$7=2,3,IF($S$7=3,4,IF($S$7=4,5))))</f>
        <v>5</v>
      </c>
      <c r="L49" s="225">
        <f t="shared" ref="L49:O49" si="14">IF($S$7=1,4,IF($S$7=2,3,IF($S$7=3,4,IF($S$7=4,5))))</f>
        <v>5</v>
      </c>
      <c r="M49" s="225">
        <f t="shared" si="14"/>
        <v>5</v>
      </c>
      <c r="N49" s="225">
        <f t="shared" si="14"/>
        <v>5</v>
      </c>
      <c r="O49" s="267">
        <f t="shared" si="14"/>
        <v>5</v>
      </c>
      <c r="Q49" s="32" t="s">
        <v>772</v>
      </c>
      <c r="AA49" s="36"/>
    </row>
    <row r="50" spans="2:28" x14ac:dyDescent="0.2">
      <c r="B50" s="32" t="s">
        <v>542</v>
      </c>
      <c r="E50" s="63"/>
      <c r="F50" s="63"/>
      <c r="G50" s="63"/>
      <c r="H50" s="63"/>
      <c r="I50" s="63"/>
      <c r="J50" s="63"/>
      <c r="K50" s="229">
        <f>K70</f>
        <v>0.02</v>
      </c>
      <c r="L50" s="229">
        <f>L70</f>
        <v>1.7500000000000002E-2</v>
      </c>
      <c r="M50" s="229">
        <f>M70</f>
        <v>1.4999999999999999E-2</v>
      </c>
      <c r="N50" s="229">
        <f>N70</f>
        <v>1.4999999999999999E-2</v>
      </c>
      <c r="O50" s="269">
        <f>O70</f>
        <v>1.4999999999999999E-2</v>
      </c>
      <c r="Q50" s="86" t="s">
        <v>500</v>
      </c>
      <c r="R50" s="22"/>
      <c r="S50" s="22"/>
      <c r="T50" s="22"/>
      <c r="U50" s="22"/>
      <c r="V50" s="22"/>
      <c r="W50" s="22"/>
      <c r="X50" s="22"/>
      <c r="Y50" s="22"/>
      <c r="Z50" s="22"/>
      <c r="AA50" s="87"/>
    </row>
    <row r="51" spans="2:28" x14ac:dyDescent="0.2">
      <c r="B51" s="270" t="s">
        <v>546</v>
      </c>
      <c r="C51" s="22"/>
      <c r="D51" s="22"/>
      <c r="E51" s="144"/>
      <c r="F51" s="144"/>
      <c r="G51" s="144"/>
      <c r="H51" s="144"/>
      <c r="I51" s="144"/>
      <c r="J51" s="144"/>
      <c r="K51" s="271">
        <f>SUM(K47:K49)</f>
        <v>29.66</v>
      </c>
      <c r="L51" s="271">
        <f ca="1">SUM(L47:L49)</f>
        <v>31.38381514770267</v>
      </c>
      <c r="M51" s="271">
        <f ca="1">SUM(M47:M49)</f>
        <v>32.048630998630379</v>
      </c>
      <c r="N51" s="271">
        <f ca="1">SUM(N47:N49)</f>
        <v>37.291033839193823</v>
      </c>
      <c r="O51" s="272">
        <f ca="1">SUM(O47:O49)</f>
        <v>42.379228358292821</v>
      </c>
    </row>
    <row r="52" spans="2:28" x14ac:dyDescent="0.2">
      <c r="Q52" s="83" t="s">
        <v>507</v>
      </c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5"/>
    </row>
    <row r="53" spans="2:28" x14ac:dyDescent="0.2">
      <c r="B53" s="162" t="s">
        <v>272</v>
      </c>
      <c r="C53" s="15"/>
      <c r="D53" s="15"/>
      <c r="E53" s="19">
        <f>'BS Neu'!D26</f>
        <v>137.4</v>
      </c>
      <c r="F53" s="19">
        <f>'BS Neu'!E26</f>
        <v>645.5</v>
      </c>
      <c r="G53" s="19">
        <f>'BS Neu'!F26</f>
        <v>529</v>
      </c>
      <c r="H53" s="19">
        <f>'BS Neu'!G26</f>
        <v>460</v>
      </c>
      <c r="I53" s="19">
        <f>'BS Neu'!H26</f>
        <v>802</v>
      </c>
      <c r="J53" s="19">
        <f>'BS Neu'!I26</f>
        <v>733</v>
      </c>
      <c r="K53" s="19">
        <f ca="1">'BS Neu'!J26</f>
        <v>936.2180084401524</v>
      </c>
      <c r="L53" s="19">
        <f ca="1">'BS Neu'!K26</f>
        <v>1136.5753999086919</v>
      </c>
      <c r="M53" s="19">
        <f ca="1">'BS Neu'!L26</f>
        <v>1486.0689226129216</v>
      </c>
      <c r="N53" s="19">
        <f ca="1">'BS Neu'!M26</f>
        <v>1825.2818905528547</v>
      </c>
      <c r="O53" s="19">
        <f ca="1">'BS Neu'!N26</f>
        <v>2223.6018343334326</v>
      </c>
      <c r="Q53" s="32" t="s">
        <v>508</v>
      </c>
      <c r="AB53" s="36"/>
    </row>
    <row r="54" spans="2:28" x14ac:dyDescent="0.2">
      <c r="Q54" s="32" t="s">
        <v>509</v>
      </c>
      <c r="AB54" s="36"/>
    </row>
    <row r="55" spans="2:28" x14ac:dyDescent="0.2">
      <c r="B55" s="13" t="s">
        <v>290</v>
      </c>
      <c r="J55" s="36"/>
      <c r="K55" s="19">
        <f>K44+K51</f>
        <v>-30.54552</v>
      </c>
      <c r="L55" s="19">
        <f t="shared" ref="L55:O55" ca="1" si="15">L44+L51</f>
        <v>-45.397015705409991</v>
      </c>
      <c r="M55" s="19">
        <f t="shared" ca="1" si="15"/>
        <v>-47.472526552565462</v>
      </c>
      <c r="N55" s="19">
        <f t="shared" ca="1" si="15"/>
        <v>-29.452679061593393</v>
      </c>
      <c r="O55" s="19">
        <f t="shared" ca="1" si="15"/>
        <v>-30.124390582280085</v>
      </c>
      <c r="Q55" s="32" t="s">
        <v>510</v>
      </c>
      <c r="AB55" s="36"/>
    </row>
    <row r="56" spans="2:28" ht="17" thickBot="1" x14ac:dyDescent="0.25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Q56" s="32" t="s">
        <v>511</v>
      </c>
      <c r="AB56" s="36"/>
    </row>
    <row r="57" spans="2:28" x14ac:dyDescent="0.2">
      <c r="Q57" s="32" t="s">
        <v>512</v>
      </c>
      <c r="AB57" s="36"/>
    </row>
    <row r="58" spans="2:28" x14ac:dyDescent="0.2">
      <c r="B58" s="13" t="s">
        <v>552</v>
      </c>
      <c r="K58" s="203">
        <f>K13+K15</f>
        <v>-0.1</v>
      </c>
      <c r="L58" s="203">
        <f t="shared" ref="L58:O58" si="16">L13+L15</f>
        <v>-8.3999999999999986</v>
      </c>
      <c r="M58" s="203">
        <f t="shared" si="16"/>
        <v>0</v>
      </c>
      <c r="N58" s="203">
        <f t="shared" si="16"/>
        <v>0</v>
      </c>
      <c r="O58" s="203">
        <f t="shared" si="16"/>
        <v>0</v>
      </c>
      <c r="Q58" s="32" t="s">
        <v>554</v>
      </c>
      <c r="AB58" s="36"/>
    </row>
    <row r="59" spans="2:28" x14ac:dyDescent="0.2">
      <c r="B59" s="13" t="s">
        <v>553</v>
      </c>
      <c r="K59" s="16">
        <f>K16</f>
        <v>-56.108206131934033</v>
      </c>
      <c r="L59" s="16">
        <f t="shared" ref="L59:O59" ca="1" si="17">L16</f>
        <v>-57.857793903160832</v>
      </c>
      <c r="M59" s="16">
        <f t="shared" ca="1" si="17"/>
        <v>-59.762009308095656</v>
      </c>
      <c r="N59" s="16">
        <f t="shared" ca="1" si="17"/>
        <v>-63.548835394351478</v>
      </c>
      <c r="O59" s="16">
        <f t="shared" ca="1" si="17"/>
        <v>-68.548994838658658</v>
      </c>
      <c r="Q59" s="86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87"/>
    </row>
    <row r="60" spans="2:28" x14ac:dyDescent="0.2">
      <c r="B60" s="13" t="s">
        <v>550</v>
      </c>
      <c r="K60" s="274">
        <f>SUM(K58)+'BS Neu'!I49</f>
        <v>120.9</v>
      </c>
      <c r="L60" s="274">
        <f>SUM(L58)+'BS Neu'!J49</f>
        <v>112.5</v>
      </c>
      <c r="M60" s="274">
        <f>SUM(M58)+'BS Neu'!K49</f>
        <v>112.5</v>
      </c>
      <c r="N60" s="274">
        <f>SUM(N58)+'BS Neu'!L49</f>
        <v>112.5</v>
      </c>
      <c r="O60" s="274">
        <f>SUM(O58)+'BS Neu'!M49</f>
        <v>112.5</v>
      </c>
    </row>
    <row r="61" spans="2:28" x14ac:dyDescent="0.2">
      <c r="B61" s="13" t="s">
        <v>551</v>
      </c>
      <c r="K61" s="204">
        <f ca="1">K17-K60+K59</f>
        <v>1326.6635877361318</v>
      </c>
      <c r="L61" s="204">
        <f t="shared" ref="L61:O61" ca="1" si="18">L17-L60+L59</f>
        <v>1383.0843644617441</v>
      </c>
      <c r="M61" s="204">
        <f t="shared" ca="1" si="18"/>
        <v>1466.4356246687134</v>
      </c>
      <c r="N61" s="204">
        <f t="shared" ca="1" si="18"/>
        <v>1566.8764048085861</v>
      </c>
      <c r="O61" s="204">
        <f t="shared" ca="1" si="18"/>
        <v>1694.8994795394683</v>
      </c>
    </row>
    <row r="62" spans="2:28" x14ac:dyDescent="0.2">
      <c r="B62" s="13"/>
    </row>
    <row r="63" spans="2:28" x14ac:dyDescent="0.2">
      <c r="B63" s="13" t="s">
        <v>590</v>
      </c>
      <c r="E63" s="20">
        <f>F13+F15</f>
        <v>97</v>
      </c>
      <c r="F63" s="20">
        <f t="shared" ref="F63:J63" si="19">G13+G15</f>
        <v>0</v>
      </c>
      <c r="G63" s="20">
        <f t="shared" si="19"/>
        <v>0</v>
      </c>
      <c r="H63" s="20">
        <f t="shared" si="19"/>
        <v>13</v>
      </c>
      <c r="I63" s="20">
        <f t="shared" si="19"/>
        <v>0</v>
      </c>
      <c r="J63" s="20">
        <f t="shared" si="19"/>
        <v>-0.1</v>
      </c>
      <c r="K63" s="20">
        <f>SUM(K13:K16)</f>
        <v>54.671793868065983</v>
      </c>
      <c r="L63" s="20">
        <f t="shared" ref="L63:O63" ca="1" si="20">SUM(L13:L16)</f>
        <v>49.770364496839157</v>
      </c>
      <c r="M63" s="20">
        <f t="shared" ca="1" si="20"/>
        <v>85.255475611904359</v>
      </c>
      <c r="N63" s="20">
        <f t="shared" ca="1" si="20"/>
        <v>104.2276062261285</v>
      </c>
      <c r="O63" s="20">
        <f t="shared" ca="1" si="20"/>
        <v>133.02323417518932</v>
      </c>
    </row>
    <row r="65" spans="2:17" x14ac:dyDescent="0.2">
      <c r="B65" s="378" t="s">
        <v>271</v>
      </c>
      <c r="C65" s="84" t="s">
        <v>276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5"/>
    </row>
    <row r="66" spans="2:17" x14ac:dyDescent="0.2">
      <c r="B66" s="170" t="s">
        <v>504</v>
      </c>
      <c r="K66" s="164">
        <v>1.9099999999999999E-2</v>
      </c>
      <c r="L66" s="164">
        <v>2.0420000000000001E-2</v>
      </c>
      <c r="M66" s="164">
        <v>2.162E-2</v>
      </c>
      <c r="N66" s="164">
        <v>2.315E-2</v>
      </c>
      <c r="O66" s="379">
        <v>2.4750000000000001E-2</v>
      </c>
    </row>
    <row r="67" spans="2:17" x14ac:dyDescent="0.2">
      <c r="B67" s="170" t="s">
        <v>259</v>
      </c>
      <c r="E67" s="63"/>
      <c r="F67" s="63"/>
      <c r="G67" s="63"/>
      <c r="H67" s="63"/>
      <c r="I67" s="63"/>
      <c r="J67" s="63"/>
      <c r="K67" s="135">
        <v>2.2499999999999999E-2</v>
      </c>
      <c r="L67" s="135">
        <v>2.5000000000000001E-2</v>
      </c>
      <c r="M67" s="135">
        <v>2.75E-2</v>
      </c>
      <c r="N67" s="135">
        <v>0.03</v>
      </c>
      <c r="O67" s="380">
        <v>0.03</v>
      </c>
    </row>
    <row r="68" spans="2:17" x14ac:dyDescent="0.2">
      <c r="B68" s="170" t="s">
        <v>292</v>
      </c>
      <c r="E68" s="63"/>
      <c r="F68" s="63"/>
      <c r="G68" s="63"/>
      <c r="H68" s="63"/>
      <c r="I68" s="63"/>
      <c r="J68" s="63"/>
      <c r="K68" s="135">
        <v>0.02</v>
      </c>
      <c r="L68" s="135">
        <v>0.02</v>
      </c>
      <c r="M68" s="135">
        <v>0.02</v>
      </c>
      <c r="N68" s="135">
        <v>0.02</v>
      </c>
      <c r="O68" s="380">
        <v>0.02</v>
      </c>
      <c r="Q68" s="13"/>
    </row>
    <row r="69" spans="2:17" x14ac:dyDescent="0.2">
      <c r="B69" s="170" t="s">
        <v>293</v>
      </c>
      <c r="E69" s="63"/>
      <c r="F69" s="63"/>
      <c r="G69" s="63"/>
      <c r="H69" s="63"/>
      <c r="I69" s="63"/>
      <c r="J69" s="63"/>
      <c r="K69" s="135">
        <v>0.02</v>
      </c>
      <c r="L69" s="135">
        <v>1.7500000000000002E-2</v>
      </c>
      <c r="M69" s="135">
        <v>1.4999999999999999E-2</v>
      </c>
      <c r="N69" s="135">
        <v>1.4999999999999999E-2</v>
      </c>
      <c r="O69" s="380">
        <v>1.4999999999999999E-2</v>
      </c>
    </row>
    <row r="70" spans="2:17" x14ac:dyDescent="0.2">
      <c r="B70" s="270" t="s">
        <v>315</v>
      </c>
      <c r="C70" s="22"/>
      <c r="D70" s="22"/>
      <c r="E70" s="144"/>
      <c r="F70" s="144"/>
      <c r="G70" s="144"/>
      <c r="H70" s="144"/>
      <c r="I70" s="144"/>
      <c r="J70" s="144"/>
      <c r="K70" s="381">
        <f>CHOOSE($S$7,K66,K67,K68,K69)</f>
        <v>0.02</v>
      </c>
      <c r="L70" s="381">
        <f>CHOOSE($S$7,L66,L67,L68,L69)</f>
        <v>1.7500000000000002E-2</v>
      </c>
      <c r="M70" s="381">
        <f>CHOOSE($S$7,M66,M67,M68,M69)</f>
        <v>1.4999999999999999E-2</v>
      </c>
      <c r="N70" s="381">
        <f>CHOOSE($S$7,N66,N67,N68,N69)</f>
        <v>1.4999999999999999E-2</v>
      </c>
      <c r="O70" s="382">
        <f>CHOOSE($S$7,O66,O67,O68,O69)</f>
        <v>1.4999999999999999E-2</v>
      </c>
    </row>
    <row r="72" spans="2:17" x14ac:dyDescent="0.2">
      <c r="B72" s="83" t="s">
        <v>484</v>
      </c>
      <c r="C72" s="84"/>
      <c r="D72" s="84" t="s">
        <v>485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5"/>
    </row>
    <row r="73" spans="2:17" x14ac:dyDescent="0.2">
      <c r="B73" s="32"/>
      <c r="O73" s="36"/>
    </row>
    <row r="74" spans="2:17" x14ac:dyDescent="0.2">
      <c r="B74" s="51" t="s">
        <v>486</v>
      </c>
      <c r="C74" s="46" t="s">
        <v>491</v>
      </c>
      <c r="O74" s="36"/>
    </row>
    <row r="75" spans="2:17" x14ac:dyDescent="0.2">
      <c r="B75" s="32" t="s">
        <v>497</v>
      </c>
      <c r="E75" s="63"/>
      <c r="F75" s="63"/>
      <c r="G75" s="63"/>
      <c r="H75" s="63"/>
      <c r="I75" s="63"/>
      <c r="J75" s="63"/>
      <c r="K75" s="116">
        <v>0</v>
      </c>
      <c r="L75" s="116">
        <v>0</v>
      </c>
      <c r="M75" s="116">
        <v>990</v>
      </c>
      <c r="N75" s="116">
        <v>0</v>
      </c>
      <c r="O75" s="143">
        <v>0</v>
      </c>
    </row>
    <row r="76" spans="2:17" x14ac:dyDescent="0.2">
      <c r="B76" s="32" t="s">
        <v>498</v>
      </c>
      <c r="E76" s="63"/>
      <c r="F76" s="63"/>
      <c r="G76" s="63"/>
      <c r="H76" s="63"/>
      <c r="I76" s="63"/>
      <c r="J76" s="63"/>
      <c r="K76" s="116">
        <v>0.1</v>
      </c>
      <c r="L76" s="116">
        <v>3.8</v>
      </c>
      <c r="M76" s="116">
        <v>0</v>
      </c>
      <c r="N76" s="116">
        <v>0</v>
      </c>
      <c r="O76" s="143">
        <v>0</v>
      </c>
    </row>
    <row r="77" spans="2:17" x14ac:dyDescent="0.2">
      <c r="B77" s="32" t="s">
        <v>499</v>
      </c>
      <c r="E77" s="63"/>
      <c r="F77" s="63"/>
      <c r="G77" s="63"/>
      <c r="H77" s="63"/>
      <c r="I77" s="63"/>
      <c r="J77" s="63"/>
      <c r="K77" s="136">
        <v>0</v>
      </c>
      <c r="L77" s="136">
        <v>4.5999999999999996</v>
      </c>
      <c r="M77" s="136">
        <v>0</v>
      </c>
      <c r="N77" s="136">
        <v>0</v>
      </c>
      <c r="O77" s="156">
        <v>0</v>
      </c>
    </row>
    <row r="78" spans="2:17" x14ac:dyDescent="0.2">
      <c r="B78" s="51" t="s">
        <v>313</v>
      </c>
      <c r="K78" s="205">
        <f>SUM(K75:K77)</f>
        <v>0.1</v>
      </c>
      <c r="L78" s="205">
        <f t="shared" ref="L78:O78" si="21">SUM(L75:L77)</f>
        <v>8.3999999999999986</v>
      </c>
      <c r="M78" s="205">
        <f t="shared" si="21"/>
        <v>990</v>
      </c>
      <c r="N78" s="205">
        <f t="shared" si="21"/>
        <v>0</v>
      </c>
      <c r="O78" s="205">
        <f t="shared" si="21"/>
        <v>0</v>
      </c>
    </row>
    <row r="79" spans="2:17" x14ac:dyDescent="0.2">
      <c r="B79" s="51" t="s">
        <v>486</v>
      </c>
      <c r="C79" s="46" t="s">
        <v>487</v>
      </c>
      <c r="D79" t="s">
        <v>501</v>
      </c>
      <c r="O79" s="36"/>
    </row>
    <row r="80" spans="2:17" x14ac:dyDescent="0.2">
      <c r="B80" s="32"/>
      <c r="E80" s="63"/>
      <c r="F80" s="63"/>
      <c r="G80" s="63"/>
      <c r="H80" s="63"/>
      <c r="I80" s="63"/>
      <c r="J80" s="63"/>
      <c r="K80" s="138"/>
      <c r="L80" s="138"/>
      <c r="M80" s="138"/>
      <c r="N80" s="138"/>
      <c r="O80" s="150"/>
    </row>
    <row r="81" spans="2:29" x14ac:dyDescent="0.2">
      <c r="B81" s="32"/>
      <c r="E81" s="63"/>
      <c r="F81" s="63"/>
      <c r="G81" s="63"/>
      <c r="H81" s="63"/>
      <c r="I81" s="63"/>
      <c r="J81" s="63"/>
      <c r="K81" s="116"/>
      <c r="L81" s="116"/>
      <c r="M81" s="116"/>
      <c r="N81" s="116"/>
      <c r="O81" s="143"/>
    </row>
    <row r="82" spans="2:29" x14ac:dyDescent="0.2">
      <c r="B82" s="32"/>
      <c r="E82" s="63"/>
      <c r="F82" s="63"/>
      <c r="G82" s="63"/>
      <c r="H82" s="63"/>
      <c r="I82" s="63"/>
      <c r="J82" s="63"/>
      <c r="K82" s="151"/>
      <c r="L82" s="151"/>
      <c r="M82" s="151"/>
      <c r="N82" s="151"/>
      <c r="O82" s="152"/>
    </row>
    <row r="83" spans="2:29" ht="17" thickBot="1" x14ac:dyDescent="0.25">
      <c r="B83" s="241" t="s">
        <v>502</v>
      </c>
      <c r="C83" s="53"/>
      <c r="D83" s="53"/>
      <c r="E83" s="53"/>
      <c r="F83" s="53"/>
      <c r="G83" s="53"/>
      <c r="H83" s="53"/>
      <c r="I83" s="53"/>
      <c r="J83" s="53"/>
      <c r="K83" s="242">
        <f t="shared" ref="K83:O83" si="22">K78</f>
        <v>0.1</v>
      </c>
      <c r="L83" s="242">
        <f t="shared" si="22"/>
        <v>8.3999999999999986</v>
      </c>
      <c r="M83" s="242">
        <f t="shared" si="22"/>
        <v>990</v>
      </c>
      <c r="N83" s="242">
        <f t="shared" si="22"/>
        <v>0</v>
      </c>
      <c r="O83" s="242">
        <f t="shared" si="22"/>
        <v>0</v>
      </c>
    </row>
    <row r="84" spans="2:29" x14ac:dyDescent="0.2">
      <c r="B84" s="51" t="s">
        <v>486</v>
      </c>
      <c r="C84" t="s">
        <v>505</v>
      </c>
      <c r="O84" s="36"/>
      <c r="Q84" s="13"/>
    </row>
    <row r="85" spans="2:29" x14ac:dyDescent="0.2">
      <c r="B85" s="32" t="s">
        <v>497</v>
      </c>
      <c r="E85" s="63"/>
      <c r="F85" s="63"/>
      <c r="G85" s="63"/>
      <c r="H85" s="63"/>
      <c r="I85" s="63"/>
      <c r="J85" s="63"/>
      <c r="K85" s="116">
        <v>0</v>
      </c>
      <c r="L85" s="116">
        <v>0</v>
      </c>
      <c r="M85" s="116">
        <v>990</v>
      </c>
      <c r="N85" s="116">
        <v>0</v>
      </c>
      <c r="O85" s="143">
        <v>0</v>
      </c>
    </row>
    <row r="86" spans="2:29" x14ac:dyDescent="0.2">
      <c r="B86" s="83" t="s">
        <v>488</v>
      </c>
      <c r="C86" s="46" t="s">
        <v>489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5"/>
    </row>
    <row r="87" spans="2:29" x14ac:dyDescent="0.2">
      <c r="B87" s="240" t="s">
        <v>513</v>
      </c>
      <c r="E87" s="63"/>
      <c r="F87" s="63"/>
      <c r="G87" s="63"/>
      <c r="H87" s="63"/>
      <c r="I87" s="63"/>
      <c r="J87" s="63"/>
      <c r="K87" s="138">
        <f>'FA-Forecast (updated)'!M45</f>
        <v>110.88000000000001</v>
      </c>
      <c r="L87" s="138">
        <f>'FA-Forecast (updated)'!N45</f>
        <v>116.0281584</v>
      </c>
      <c r="M87" s="138">
        <f>'FA-Forecast (updated)'!O45</f>
        <v>145.01748491999999</v>
      </c>
      <c r="N87" s="138">
        <f>'FA-Forecast (updated)'!P45</f>
        <v>167.77644162047997</v>
      </c>
      <c r="O87" s="138">
        <f>'FA-Forecast (updated)'!Q45</f>
        <v>201.57222901384796</v>
      </c>
    </row>
    <row r="88" spans="2:29" x14ac:dyDescent="0.2">
      <c r="B88" s="86" t="s">
        <v>514</v>
      </c>
      <c r="C88" s="22"/>
      <c r="D88" s="22"/>
      <c r="E88" s="144"/>
      <c r="F88" s="144"/>
      <c r="G88" s="144"/>
      <c r="H88" s="144"/>
      <c r="I88" s="144"/>
      <c r="J88" s="144"/>
      <c r="K88" s="244">
        <f>'FA-Forecast (updated)'!M47</f>
        <v>56.108206131934033</v>
      </c>
      <c r="L88" s="244">
        <f ca="1">'FA-Forecast (updated)'!N47</f>
        <v>57.857793903160832</v>
      </c>
      <c r="M88" s="244">
        <f ca="1">'FA-Forecast (updated)'!O47</f>
        <v>59.762009308095656</v>
      </c>
      <c r="N88" s="244">
        <f ca="1">'FA-Forecast (updated)'!P47</f>
        <v>63.548835394351478</v>
      </c>
      <c r="O88" s="244">
        <f ca="1">'FA-Forecast (updated)'!Q47</f>
        <v>68.548994838658658</v>
      </c>
    </row>
    <row r="90" spans="2:29" x14ac:dyDescent="0.2">
      <c r="B90" s="83" t="s">
        <v>279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5"/>
    </row>
    <row r="91" spans="2:29" x14ac:dyDescent="0.2">
      <c r="B91" s="32" t="s">
        <v>295</v>
      </c>
      <c r="E91" s="63"/>
      <c r="F91" s="63"/>
      <c r="G91" s="63"/>
      <c r="H91" s="63"/>
      <c r="I91" s="63"/>
      <c r="J91" s="63"/>
      <c r="K91" s="344">
        <f>CHOOSE($U$4,K92, K93, K94)</f>
        <v>0.43</v>
      </c>
      <c r="L91" s="344">
        <f>CHOOSE($U$4,L92, L93, L94)</f>
        <v>0.45</v>
      </c>
      <c r="M91" s="344">
        <f>CHOOSE($U$4,M92, M93, M94)</f>
        <v>0.47</v>
      </c>
      <c r="N91" s="344">
        <f>CHOOSE($U$4,N92, N93, N94)</f>
        <v>0.49</v>
      </c>
      <c r="O91" s="345">
        <f>CHOOSE($U$4,O92, O93, O94)</f>
        <v>0.51</v>
      </c>
    </row>
    <row r="92" spans="2:29" x14ac:dyDescent="0.2">
      <c r="B92" s="32" t="s">
        <v>296</v>
      </c>
      <c r="E92" s="63"/>
      <c r="F92" s="63"/>
      <c r="G92" s="63"/>
      <c r="H92" s="63"/>
      <c r="I92" s="63"/>
      <c r="J92" s="63"/>
      <c r="K92" s="344">
        <v>0.4</v>
      </c>
      <c r="L92" s="344">
        <v>0.4</v>
      </c>
      <c r="M92" s="344">
        <v>0.4</v>
      </c>
      <c r="N92" s="344">
        <v>0.4</v>
      </c>
      <c r="O92" s="345">
        <v>0.4</v>
      </c>
    </row>
    <row r="93" spans="2:29" x14ac:dyDescent="0.2">
      <c r="B93" s="32" t="s">
        <v>297</v>
      </c>
      <c r="E93" s="63"/>
      <c r="F93" s="63"/>
      <c r="G93" s="63"/>
      <c r="H93" s="63"/>
      <c r="I93" s="63"/>
      <c r="J93" s="63"/>
      <c r="K93" s="344">
        <v>0.43</v>
      </c>
      <c r="L93" s="344">
        <v>0.45</v>
      </c>
      <c r="M93" s="344">
        <v>0.47</v>
      </c>
      <c r="N93" s="344">
        <v>0.49</v>
      </c>
      <c r="O93" s="345">
        <v>0.51</v>
      </c>
    </row>
    <row r="94" spans="2:29" x14ac:dyDescent="0.2">
      <c r="B94" s="32" t="s">
        <v>298</v>
      </c>
      <c r="E94" s="63"/>
      <c r="F94" s="63"/>
      <c r="G94" s="63"/>
      <c r="H94" s="63"/>
      <c r="I94" s="63"/>
      <c r="J94" s="63"/>
      <c r="K94" s="344">
        <v>0.4</v>
      </c>
      <c r="L94" s="344">
        <v>0.38</v>
      </c>
      <c r="M94" s="344">
        <v>0.36</v>
      </c>
      <c r="N94" s="344">
        <v>0.34</v>
      </c>
      <c r="O94" s="345">
        <v>0.32</v>
      </c>
    </row>
    <row r="95" spans="2:29" x14ac:dyDescent="0.2">
      <c r="B95" s="32"/>
      <c r="O95" s="36"/>
    </row>
    <row r="96" spans="2:29" x14ac:dyDescent="0.2">
      <c r="B96" s="32" t="s">
        <v>277</v>
      </c>
      <c r="E96" s="63"/>
      <c r="F96" s="63"/>
      <c r="G96" s="63"/>
      <c r="H96" s="63"/>
      <c r="I96" s="63"/>
      <c r="J96" s="63"/>
      <c r="K96" s="116">
        <f>CHOOSE($U$4,K97,K98,K99)</f>
        <v>0.42000000000000004</v>
      </c>
      <c r="L96" s="116">
        <f>CHOOSE($U$4,L97,L98,L99)</f>
        <v>0.44100000000000006</v>
      </c>
      <c r="M96" s="116">
        <f>CHOOSE($U$4,M97,M98,M99)</f>
        <v>0.46305000000000007</v>
      </c>
      <c r="N96" s="116">
        <f>CHOOSE($U$4,N97,N98,N99)</f>
        <v>0.48620250000000009</v>
      </c>
      <c r="O96" s="143">
        <f>CHOOSE($U$4,O97,O98,O99)</f>
        <v>0.51051262500000016</v>
      </c>
      <c r="Q96" s="300" t="s">
        <v>560</v>
      </c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5"/>
    </row>
    <row r="97" spans="2:29" x14ac:dyDescent="0.2">
      <c r="B97" s="32" t="s">
        <v>282</v>
      </c>
      <c r="E97" s="63"/>
      <c r="F97" s="63"/>
      <c r="G97" s="63"/>
      <c r="H97" s="63"/>
      <c r="I97" s="63"/>
      <c r="J97" s="63"/>
      <c r="K97" s="116">
        <v>0.45</v>
      </c>
      <c r="L97" s="116">
        <v>0.45</v>
      </c>
      <c r="M97" s="116">
        <v>0.45</v>
      </c>
      <c r="N97" s="116">
        <v>0.45</v>
      </c>
      <c r="O97" s="143">
        <v>0.45</v>
      </c>
      <c r="Q97" s="170" t="s">
        <v>558</v>
      </c>
      <c r="AC97" s="208"/>
    </row>
    <row r="98" spans="2:29" x14ac:dyDescent="0.2">
      <c r="B98" s="32" t="s">
        <v>302</v>
      </c>
      <c r="D98" s="292">
        <v>0.05</v>
      </c>
      <c r="E98" s="63"/>
      <c r="F98" s="63"/>
      <c r="G98" s="63"/>
      <c r="H98" s="63"/>
      <c r="I98" s="63"/>
      <c r="J98" s="63"/>
      <c r="K98" s="116">
        <f>J21*1.05</f>
        <v>0.42000000000000004</v>
      </c>
      <c r="L98" s="116">
        <f>K98*1.05</f>
        <v>0.44100000000000006</v>
      </c>
      <c r="M98" s="116">
        <f>L98*1.05</f>
        <v>0.46305000000000007</v>
      </c>
      <c r="N98" s="116">
        <f>M98*1.05</f>
        <v>0.48620250000000009</v>
      </c>
      <c r="O98" s="143">
        <f>N98*1.05</f>
        <v>0.51051262500000016</v>
      </c>
      <c r="Q98" s="170" t="s">
        <v>559</v>
      </c>
      <c r="AC98" s="208"/>
    </row>
    <row r="99" spans="2:29" x14ac:dyDescent="0.2">
      <c r="B99" s="86" t="s">
        <v>303</v>
      </c>
      <c r="C99" s="22"/>
      <c r="D99" s="343">
        <v>0.1</v>
      </c>
      <c r="E99" s="144"/>
      <c r="F99" s="144"/>
      <c r="G99" s="144"/>
      <c r="H99" s="144"/>
      <c r="I99" s="144"/>
      <c r="J99" s="144"/>
      <c r="K99" s="145">
        <f>J21*1.1</f>
        <v>0.44000000000000006</v>
      </c>
      <c r="L99" s="145">
        <f>K99*1.1</f>
        <v>0.4840000000000001</v>
      </c>
      <c r="M99" s="145">
        <f>L99*1.1</f>
        <v>0.5324000000000001</v>
      </c>
      <c r="N99" s="145">
        <f>M99*1.1</f>
        <v>0.58564000000000016</v>
      </c>
      <c r="O99" s="146">
        <f>N99*1.1</f>
        <v>0.64420400000000022</v>
      </c>
      <c r="Q99" s="170" t="s">
        <v>692</v>
      </c>
      <c r="AC99" s="208"/>
    </row>
    <row r="100" spans="2:29" x14ac:dyDescent="0.2">
      <c r="Q100" s="170"/>
      <c r="AC100" s="208"/>
    </row>
    <row r="101" spans="2:29" x14ac:dyDescent="0.2">
      <c r="B101" s="300" t="s">
        <v>695</v>
      </c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5"/>
      <c r="Q101" s="170" t="s">
        <v>697</v>
      </c>
      <c r="AC101" s="208"/>
    </row>
    <row r="102" spans="2:29" x14ac:dyDescent="0.2">
      <c r="B102" s="290"/>
      <c r="E102" s="16"/>
      <c r="F102" s="16"/>
      <c r="G102" s="16"/>
      <c r="H102" s="16"/>
      <c r="I102" s="16"/>
      <c r="J102" s="16"/>
      <c r="O102" s="208"/>
      <c r="Q102" s="170" t="s">
        <v>698</v>
      </c>
      <c r="AC102" s="208"/>
    </row>
    <row r="103" spans="2:29" x14ac:dyDescent="0.2">
      <c r="B103" s="170" t="s">
        <v>557</v>
      </c>
      <c r="E103" s="63">
        <f>'BS Neu'!D111</f>
        <v>0.1</v>
      </c>
      <c r="F103" s="63">
        <f>'BS Neu'!E111</f>
        <v>7.6</v>
      </c>
      <c r="G103" s="63">
        <f>'BS Neu'!F111</f>
        <v>11</v>
      </c>
      <c r="H103" s="63">
        <f>'BS Neu'!G111</f>
        <v>19</v>
      </c>
      <c r="I103" s="63">
        <f>'BS Neu'!H111</f>
        <v>39</v>
      </c>
      <c r="J103" s="63">
        <f>'BS Neu'!I111</f>
        <v>33</v>
      </c>
      <c r="K103" s="351">
        <f>K104*$D$105*-1</f>
        <v>37.819085352000016</v>
      </c>
      <c r="L103" s="352">
        <f ca="1">L104*$D$105*-1</f>
        <v>40.922114494610689</v>
      </c>
      <c r="M103" s="352">
        <f ca="1">M104*$D$105*-1</f>
        <v>55.042235254387187</v>
      </c>
      <c r="N103" s="352">
        <f ca="1">N104*$D$105*-1</f>
        <v>65.842946835043477</v>
      </c>
      <c r="O103" s="353">
        <f ca="1">O104*$D$105*-1</f>
        <v>79.552581315887167</v>
      </c>
      <c r="Q103" s="170" t="s">
        <v>694</v>
      </c>
      <c r="AC103" s="208"/>
    </row>
    <row r="104" spans="2:29" x14ac:dyDescent="0.2">
      <c r="B104" s="170" t="s">
        <v>555</v>
      </c>
      <c r="E104" s="63">
        <f>'IS Neu'!D23</f>
        <v>-27.4</v>
      </c>
      <c r="F104" s="63">
        <f>'IS Neu'!E23</f>
        <v>10.7</v>
      </c>
      <c r="G104" s="63">
        <f>'IS Neu'!F23</f>
        <v>-22</v>
      </c>
      <c r="H104" s="63">
        <f>'IS Neu'!G23</f>
        <v>-49</v>
      </c>
      <c r="I104" s="63">
        <f>'IS Neu'!H23</f>
        <v>-36</v>
      </c>
      <c r="J104" s="63">
        <f>'IS Neu'!I23</f>
        <v>-12</v>
      </c>
      <c r="K104" s="341">
        <f>'IS Neu'!J23</f>
        <v>-126.06361784000006</v>
      </c>
      <c r="L104" s="341">
        <f ca="1">'IS Neu'!K23</f>
        <v>-136.40704831536897</v>
      </c>
      <c r="M104" s="341">
        <f ca="1">'IS Neu'!L23</f>
        <v>-183.47411751462397</v>
      </c>
      <c r="N104" s="341">
        <f ca="1">'IS Neu'!M23</f>
        <v>-219.47648945014492</v>
      </c>
      <c r="O104" s="341">
        <f ca="1">'IS Neu'!N23</f>
        <v>-265.17527105295721</v>
      </c>
      <c r="P104" s="170"/>
      <c r="Q104" s="170"/>
      <c r="AC104" s="208"/>
    </row>
    <row r="105" spans="2:29" x14ac:dyDescent="0.2">
      <c r="B105" s="170" t="s">
        <v>556</v>
      </c>
      <c r="D105" s="346">
        <v>0.3</v>
      </c>
      <c r="E105" s="356">
        <f>E103/E104</f>
        <v>-3.6496350364963507E-3</v>
      </c>
      <c r="F105" s="356">
        <f t="shared" ref="F105:J105" si="23">F103/F104</f>
        <v>0.71028037383177567</v>
      </c>
      <c r="G105" s="356">
        <f t="shared" si="23"/>
        <v>-0.5</v>
      </c>
      <c r="H105" s="356">
        <f t="shared" si="23"/>
        <v>-0.38775510204081631</v>
      </c>
      <c r="I105" s="356">
        <f t="shared" si="23"/>
        <v>-1.0833333333333333</v>
      </c>
      <c r="J105" s="356">
        <f t="shared" si="23"/>
        <v>-2.75</v>
      </c>
      <c r="O105" s="208"/>
      <c r="Q105" s="170" t="s">
        <v>564</v>
      </c>
      <c r="AC105" s="208"/>
    </row>
    <row r="106" spans="2:29" x14ac:dyDescent="0.2">
      <c r="B106" s="170" t="s">
        <v>14</v>
      </c>
      <c r="D106" s="347"/>
      <c r="E106" s="357">
        <f>'IS Neu'!D12</f>
        <v>1114.2</v>
      </c>
      <c r="F106" s="357">
        <f>'IS Neu'!E12</f>
        <v>1206.9000000000001</v>
      </c>
      <c r="G106" s="357">
        <f>'IS Neu'!F12</f>
        <v>1474</v>
      </c>
      <c r="H106" s="357">
        <f>'IS Neu'!G12</f>
        <v>1707</v>
      </c>
      <c r="I106" s="357">
        <f>'IS Neu'!H12</f>
        <v>1847</v>
      </c>
      <c r="J106" s="357">
        <f>'IS Neu'!I12</f>
        <v>2240</v>
      </c>
      <c r="K106" s="354">
        <f>'IS Neu'!J12</f>
        <v>2800</v>
      </c>
      <c r="L106" s="354">
        <f>'IS Neu'!K12</f>
        <v>2930.0039999999995</v>
      </c>
      <c r="M106" s="354">
        <f>'IS Neu'!L12</f>
        <v>3662.0576999999998</v>
      </c>
      <c r="N106" s="354">
        <f>'IS Neu'!M12</f>
        <v>4236.7788287999992</v>
      </c>
      <c r="O106" s="355">
        <f>'IS Neu'!N12</f>
        <v>5090.2078033799989</v>
      </c>
      <c r="Q106" s="86" t="s">
        <v>565</v>
      </c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09"/>
    </row>
    <row r="107" spans="2:29" x14ac:dyDescent="0.2">
      <c r="B107" s="170" t="s">
        <v>693</v>
      </c>
      <c r="D107" s="342"/>
      <c r="E107" s="357">
        <f>'BS Neu'!D82</f>
        <v>3.2</v>
      </c>
      <c r="F107" s="357">
        <f>'BS Neu'!E82</f>
        <v>1.6</v>
      </c>
      <c r="G107" s="357">
        <f>'BS Neu'!F82</f>
        <v>2</v>
      </c>
      <c r="H107" s="357">
        <f>'BS Neu'!G82</f>
        <v>10</v>
      </c>
      <c r="I107" s="357">
        <f>'BS Neu'!H82</f>
        <v>15</v>
      </c>
      <c r="J107" s="357">
        <f>'BS Neu'!I82</f>
        <v>20</v>
      </c>
      <c r="K107" s="78">
        <f>K106*K108</f>
        <v>21.380874657860183</v>
      </c>
      <c r="L107" s="78">
        <f t="shared" ref="L107:O107" si="24">L106*L108</f>
        <v>22.373588668224627</v>
      </c>
      <c r="M107" s="78">
        <f t="shared" si="24"/>
        <v>27.963570240554198</v>
      </c>
      <c r="N107" s="78">
        <f t="shared" si="24"/>
        <v>32.352156104160166</v>
      </c>
      <c r="O107" s="276">
        <f t="shared" si="24"/>
        <v>38.868962509474848</v>
      </c>
    </row>
    <row r="108" spans="2:29" x14ac:dyDescent="0.2">
      <c r="B108" s="86"/>
      <c r="C108" s="22"/>
      <c r="D108" s="348"/>
      <c r="E108" s="358">
        <f>E107/E106</f>
        <v>2.8720157960868786E-3</v>
      </c>
      <c r="F108" s="358">
        <f t="shared" ref="F108:J108" si="25">F107/F106</f>
        <v>1.3257104979700059E-3</v>
      </c>
      <c r="G108" s="358">
        <f t="shared" si="25"/>
        <v>1.3568521031207597E-3</v>
      </c>
      <c r="H108" s="358">
        <f t="shared" si="25"/>
        <v>5.8582308142940834E-3</v>
      </c>
      <c r="I108" s="358">
        <f t="shared" si="25"/>
        <v>8.1212777476989718E-3</v>
      </c>
      <c r="J108" s="358">
        <f t="shared" si="25"/>
        <v>8.9285714285714281E-3</v>
      </c>
      <c r="K108" s="349">
        <f>AVERAGE(H108:J108)</f>
        <v>7.6360266635214944E-3</v>
      </c>
      <c r="L108" s="349">
        <f>K108</f>
        <v>7.6360266635214944E-3</v>
      </c>
      <c r="M108" s="349">
        <f t="shared" ref="M108:O108" si="26">L108</f>
        <v>7.6360266635214944E-3</v>
      </c>
      <c r="N108" s="349">
        <f t="shared" si="26"/>
        <v>7.6360266635214944E-3</v>
      </c>
      <c r="O108" s="350">
        <f t="shared" si="26"/>
        <v>7.6360266635214944E-3</v>
      </c>
      <c r="Q108" s="83" t="s">
        <v>472</v>
      </c>
      <c r="R108" s="84"/>
      <c r="S108" s="84"/>
      <c r="T108" s="84"/>
      <c r="U108" s="84"/>
      <c r="V108" s="84"/>
      <c r="W108" s="84"/>
      <c r="X108" s="85"/>
    </row>
    <row r="109" spans="2:29" x14ac:dyDescent="0.2">
      <c r="D109" s="342"/>
      <c r="Q109" s="32" t="s">
        <v>473</v>
      </c>
      <c r="X109" s="36"/>
    </row>
    <row r="110" spans="2:29" x14ac:dyDescent="0.2">
      <c r="B110" s="300" t="s">
        <v>696</v>
      </c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5"/>
      <c r="Q110" s="32" t="s">
        <v>474</v>
      </c>
      <c r="X110" s="36"/>
    </row>
    <row r="111" spans="2:29" x14ac:dyDescent="0.2">
      <c r="B111" s="290" t="s">
        <v>691</v>
      </c>
      <c r="E111" s="63">
        <f>'BS Neu'!D19</f>
        <v>1392.7</v>
      </c>
      <c r="F111" s="63">
        <f>'BS Neu'!E19</f>
        <v>1313.3999999999999</v>
      </c>
      <c r="G111" s="63">
        <f>'BS Neu'!F19</f>
        <v>1328</v>
      </c>
      <c r="H111" s="63">
        <f>'BS Neu'!G19</f>
        <v>1335</v>
      </c>
      <c r="I111" s="63">
        <f>'BS Neu'!H19</f>
        <v>1424</v>
      </c>
      <c r="J111" s="63">
        <f>'BS Neu'!I19</f>
        <v>2289</v>
      </c>
      <c r="K111" s="78">
        <f ca="1">'BS Neu'!J19</f>
        <v>2445.8179298826785</v>
      </c>
      <c r="L111" s="78">
        <f ca="1">'BS Neu'!K19</f>
        <v>2524.504516863457</v>
      </c>
      <c r="M111" s="78">
        <f ca="1">'BS Neu'!L19</f>
        <v>2680.9849336508873</v>
      </c>
      <c r="N111" s="78">
        <f ca="1">'BS Neu'!M19</f>
        <v>2887.6030925065565</v>
      </c>
      <c r="O111" s="276">
        <f ca="1">'BS Neu'!N19</f>
        <v>3172.0437249707475</v>
      </c>
      <c r="Q111" s="86" t="s">
        <v>475</v>
      </c>
      <c r="R111" s="22"/>
      <c r="S111" s="22"/>
      <c r="T111" s="22"/>
      <c r="U111" s="22"/>
      <c r="V111" s="22"/>
      <c r="W111" s="22"/>
      <c r="X111" s="87"/>
    </row>
    <row r="112" spans="2:29" x14ac:dyDescent="0.2">
      <c r="B112" s="170" t="s">
        <v>70</v>
      </c>
      <c r="E112" s="63">
        <f>'BS Neu'!D45</f>
        <v>44.9</v>
      </c>
      <c r="F112" s="63">
        <f ca="1">'BS Neu'!E45</f>
        <v>15.3</v>
      </c>
      <c r="G112" s="63">
        <f ca="1">'BS Neu'!F45</f>
        <v>15</v>
      </c>
      <c r="H112" s="63">
        <f ca="1">'BS Neu'!G45</f>
        <v>113</v>
      </c>
      <c r="I112" s="63">
        <f ca="1">'BS Neu'!H45</f>
        <v>118</v>
      </c>
      <c r="J112" s="63">
        <f ca="1">'BS Neu'!I45</f>
        <v>156</v>
      </c>
      <c r="K112" s="78">
        <f ca="1">AVERAGE($H$115:$J$115)*K111</f>
        <v>182.95526540901616</v>
      </c>
      <c r="L112" s="78">
        <f ca="1">AVERAGE($H$115:$J$115)*L111</f>
        <v>188.84128220090733</v>
      </c>
      <c r="M112" s="78">
        <f ca="1">AVERAGE($H$115:$J$115)*M111</f>
        <v>200.54653459720123</v>
      </c>
      <c r="N112" s="78">
        <f ca="1">AVERAGE($H$115:$J$115)*N111</f>
        <v>216.00225582235984</v>
      </c>
      <c r="O112" s="276">
        <f ca="1">AVERAGE($H$115:$J$115)*O111</f>
        <v>237.27935530297847</v>
      </c>
    </row>
    <row r="113" spans="2:15" x14ac:dyDescent="0.2">
      <c r="B113" s="170" t="s">
        <v>561</v>
      </c>
      <c r="E113" s="245">
        <f>'BS Neu'!D74</f>
        <v>30.4</v>
      </c>
      <c r="F113" s="245">
        <f>'BS Neu'!E74</f>
        <v>26.3</v>
      </c>
      <c r="G113" s="245">
        <f>'BS Neu'!F74</f>
        <v>11</v>
      </c>
      <c r="H113" s="245">
        <f>'BS Neu'!G74</f>
        <v>6</v>
      </c>
      <c r="I113" s="245">
        <f>'BS Neu'!H74</f>
        <v>9</v>
      </c>
      <c r="J113" s="245">
        <f>'BS Neu'!I74</f>
        <v>1</v>
      </c>
      <c r="K113" s="341">
        <v>0</v>
      </c>
      <c r="L113" s="341">
        <v>0</v>
      </c>
      <c r="M113" s="341">
        <v>0</v>
      </c>
      <c r="N113" s="341">
        <v>0</v>
      </c>
      <c r="O113" s="376">
        <v>0</v>
      </c>
    </row>
    <row r="114" spans="2:15" x14ac:dyDescent="0.2">
      <c r="B114" s="170" t="s">
        <v>699</v>
      </c>
      <c r="E114" s="245">
        <f>E112-E113</f>
        <v>14.5</v>
      </c>
      <c r="F114" s="245">
        <f t="shared" ref="F114:J114" ca="1" si="27">F112-F113</f>
        <v>-11</v>
      </c>
      <c r="G114" s="245">
        <f t="shared" ca="1" si="27"/>
        <v>4</v>
      </c>
      <c r="H114" s="245">
        <f t="shared" ca="1" si="27"/>
        <v>107</v>
      </c>
      <c r="I114" s="245">
        <f t="shared" ca="1" si="27"/>
        <v>109</v>
      </c>
      <c r="J114" s="245">
        <f t="shared" ca="1" si="27"/>
        <v>155</v>
      </c>
      <c r="K114" s="341"/>
      <c r="L114" s="341"/>
      <c r="M114" s="341"/>
      <c r="N114" s="341"/>
      <c r="O114" s="376"/>
    </row>
    <row r="115" spans="2:15" x14ac:dyDescent="0.2">
      <c r="B115" s="170" t="s">
        <v>690</v>
      </c>
      <c r="D115" s="96">
        <v>0.01</v>
      </c>
      <c r="E115" s="258">
        <f>E114/E111</f>
        <v>1.0411431033244775E-2</v>
      </c>
      <c r="F115" s="258">
        <f t="shared" ref="F115:J115" ca="1" si="28">F114/F111</f>
        <v>-8.3752093802345069E-3</v>
      </c>
      <c r="G115" s="258">
        <f t="shared" ca="1" si="28"/>
        <v>3.0120481927710845E-3</v>
      </c>
      <c r="H115" s="258">
        <f t="shared" ca="1" si="28"/>
        <v>8.0149812734082393E-2</v>
      </c>
      <c r="I115" s="258">
        <f t="shared" ca="1" si="28"/>
        <v>7.6544943820224726E-2</v>
      </c>
      <c r="J115" s="258">
        <f t="shared" ca="1" si="28"/>
        <v>6.7715159458278718E-2</v>
      </c>
      <c r="O115" s="208"/>
    </row>
    <row r="116" spans="2:15" x14ac:dyDescent="0.2">
      <c r="B116" s="170" t="s">
        <v>562</v>
      </c>
      <c r="E116" s="63">
        <f t="shared" ref="E116:K116" si="29">E113-E112</f>
        <v>-14.5</v>
      </c>
      <c r="F116" s="63">
        <f t="shared" ca="1" si="29"/>
        <v>11</v>
      </c>
      <c r="G116" s="63">
        <f t="shared" ca="1" si="29"/>
        <v>-4</v>
      </c>
      <c r="H116" s="63">
        <f t="shared" ca="1" si="29"/>
        <v>-107</v>
      </c>
      <c r="I116" s="63">
        <f t="shared" ca="1" si="29"/>
        <v>-109</v>
      </c>
      <c r="J116" s="63">
        <f t="shared" ca="1" si="29"/>
        <v>-155</v>
      </c>
      <c r="K116" s="277">
        <f t="shared" ca="1" si="29"/>
        <v>-182.95526540901616</v>
      </c>
      <c r="L116" s="277">
        <f t="shared" ref="L116:O116" ca="1" si="30">L113-L112</f>
        <v>-188.84128220090733</v>
      </c>
      <c r="M116" s="277">
        <f t="shared" ca="1" si="30"/>
        <v>-200.54653459720123</v>
      </c>
      <c r="N116" s="277">
        <f t="shared" ca="1" si="30"/>
        <v>-216.00225582235984</v>
      </c>
      <c r="O116" s="377">
        <f t="shared" ca="1" si="30"/>
        <v>-237.27935530297847</v>
      </c>
    </row>
    <row r="117" spans="2:15" x14ac:dyDescent="0.2">
      <c r="B117" s="270" t="s">
        <v>563</v>
      </c>
      <c r="C117" s="22"/>
      <c r="D117" s="130"/>
      <c r="E117" s="248">
        <f t="shared" ref="E117:J117" si="31">E116/E111</f>
        <v>-1.0411431033244775E-2</v>
      </c>
      <c r="F117" s="248">
        <f t="shared" ca="1" si="31"/>
        <v>8.3752093802345069E-3</v>
      </c>
      <c r="G117" s="248">
        <f t="shared" ca="1" si="31"/>
        <v>-3.0120481927710845E-3</v>
      </c>
      <c r="H117" s="248">
        <f t="shared" ca="1" si="31"/>
        <v>-8.0149812734082393E-2</v>
      </c>
      <c r="I117" s="248">
        <f t="shared" ca="1" si="31"/>
        <v>-7.6544943820224726E-2</v>
      </c>
      <c r="J117" s="248">
        <f t="shared" ca="1" si="31"/>
        <v>-6.7715159458278718E-2</v>
      </c>
      <c r="K117" s="319">
        <v>0.05</v>
      </c>
      <c r="L117" s="319">
        <v>0.04</v>
      </c>
      <c r="M117" s="319">
        <v>0.03</v>
      </c>
      <c r="N117" s="319">
        <v>0.02</v>
      </c>
      <c r="O117" s="320">
        <v>0.01</v>
      </c>
    </row>
    <row r="124" spans="2:15" x14ac:dyDescent="0.2">
      <c r="B124" s="13" t="s">
        <v>566</v>
      </c>
    </row>
    <row r="125" spans="2:15" x14ac:dyDescent="0.2">
      <c r="B125" t="s">
        <v>567</v>
      </c>
    </row>
    <row r="127" spans="2:15" x14ac:dyDescent="0.2">
      <c r="B127" s="13" t="s">
        <v>568</v>
      </c>
      <c r="E127" s="224">
        <f t="shared" ref="E127:O127" si="32">E104</f>
        <v>-27.4</v>
      </c>
      <c r="F127" s="224">
        <f t="shared" si="32"/>
        <v>10.7</v>
      </c>
      <c r="G127" s="224">
        <f t="shared" si="32"/>
        <v>-22</v>
      </c>
      <c r="H127" s="224">
        <f t="shared" si="32"/>
        <v>-49</v>
      </c>
      <c r="I127" s="224">
        <f t="shared" si="32"/>
        <v>-36</v>
      </c>
      <c r="J127" s="224">
        <f t="shared" si="32"/>
        <v>-12</v>
      </c>
      <c r="K127" s="224">
        <f t="shared" si="32"/>
        <v>-126.06361784000006</v>
      </c>
      <c r="L127" s="224">
        <f t="shared" ca="1" si="32"/>
        <v>-136.40704831536897</v>
      </c>
      <c r="M127" s="224">
        <f t="shared" ca="1" si="32"/>
        <v>-183.47411751462397</v>
      </c>
      <c r="N127" s="224">
        <f t="shared" ca="1" si="32"/>
        <v>-219.47648945014492</v>
      </c>
      <c r="O127" s="224">
        <f t="shared" ca="1" si="32"/>
        <v>-265.17527105295721</v>
      </c>
    </row>
    <row r="128" spans="2:15" x14ac:dyDescent="0.2">
      <c r="B128" t="s">
        <v>569</v>
      </c>
      <c r="F128" s="16">
        <f t="shared" ref="F128:O128" si="33">F103-E103</f>
        <v>7.5</v>
      </c>
      <c r="G128" s="16">
        <f t="shared" si="33"/>
        <v>3.4000000000000004</v>
      </c>
      <c r="H128" s="16">
        <f t="shared" si="33"/>
        <v>8</v>
      </c>
      <c r="I128" s="16">
        <f t="shared" si="33"/>
        <v>20</v>
      </c>
      <c r="J128" s="16">
        <f t="shared" si="33"/>
        <v>-6</v>
      </c>
      <c r="K128" s="16">
        <f t="shared" si="33"/>
        <v>4.8190853520000161</v>
      </c>
      <c r="L128" s="16">
        <f t="shared" ca="1" si="33"/>
        <v>3.1030291426106729</v>
      </c>
      <c r="M128" s="16">
        <f t="shared" ca="1" si="33"/>
        <v>14.120120759776498</v>
      </c>
      <c r="N128" s="16">
        <f t="shared" ca="1" si="33"/>
        <v>10.800711580656291</v>
      </c>
      <c r="O128" s="16">
        <f t="shared" ca="1" si="33"/>
        <v>13.70963448084369</v>
      </c>
    </row>
    <row r="129" spans="2:17" x14ac:dyDescent="0.2">
      <c r="B129" t="s">
        <v>570</v>
      </c>
      <c r="F129" s="205">
        <f t="shared" ref="F129:O129" ca="1" si="34">-(F116-E116)</f>
        <v>-25.5</v>
      </c>
      <c r="G129" s="205">
        <f t="shared" ca="1" si="34"/>
        <v>15</v>
      </c>
      <c r="H129" s="205">
        <f t="shared" ca="1" si="34"/>
        <v>103</v>
      </c>
      <c r="I129" s="205">
        <f t="shared" ca="1" si="34"/>
        <v>2</v>
      </c>
      <c r="J129" s="205">
        <f t="shared" ca="1" si="34"/>
        <v>46</v>
      </c>
      <c r="K129" s="205">
        <f t="shared" ca="1" si="34"/>
        <v>27.955265409016164</v>
      </c>
      <c r="L129" s="205">
        <f t="shared" ca="1" si="34"/>
        <v>5.8860167918911657</v>
      </c>
      <c r="M129" s="205">
        <f t="shared" ca="1" si="34"/>
        <v>11.705252396293901</v>
      </c>
      <c r="N129" s="205">
        <f t="shared" ca="1" si="34"/>
        <v>15.455721225158612</v>
      </c>
      <c r="O129" s="205">
        <f t="shared" ca="1" si="34"/>
        <v>21.277099480618631</v>
      </c>
    </row>
    <row r="130" spans="2:17" x14ac:dyDescent="0.2">
      <c r="B130" s="13" t="s">
        <v>710</v>
      </c>
      <c r="F130" s="278">
        <f ca="1">SUM(F127:F129)</f>
        <v>-7.3000000000000007</v>
      </c>
      <c r="G130" s="278">
        <f t="shared" ref="G130:O130" ca="1" si="35">SUM(G127:G129)</f>
        <v>-3.6000000000000014</v>
      </c>
      <c r="H130" s="278">
        <f t="shared" ca="1" si="35"/>
        <v>62</v>
      </c>
      <c r="I130" s="278">
        <f t="shared" ca="1" si="35"/>
        <v>-14</v>
      </c>
      <c r="J130" s="278">
        <f t="shared" ca="1" si="35"/>
        <v>28</v>
      </c>
      <c r="K130" s="278">
        <f t="shared" ca="1" si="35"/>
        <v>-93.289267078983883</v>
      </c>
      <c r="L130" s="278">
        <f t="shared" ca="1" si="35"/>
        <v>-127.41800238086714</v>
      </c>
      <c r="M130" s="278">
        <f t="shared" ca="1" si="35"/>
        <v>-157.64874435855356</v>
      </c>
      <c r="N130" s="278">
        <f t="shared" ca="1" si="35"/>
        <v>-193.22005664433001</v>
      </c>
      <c r="O130" s="278">
        <f t="shared" ca="1" si="35"/>
        <v>-230.18853709149488</v>
      </c>
    </row>
    <row r="131" spans="2:17" x14ac:dyDescent="0.2">
      <c r="Q131" s="13" t="s">
        <v>573</v>
      </c>
    </row>
    <row r="132" spans="2:17" x14ac:dyDescent="0.2">
      <c r="B132" s="13" t="s">
        <v>572</v>
      </c>
      <c r="Q132" t="s">
        <v>580</v>
      </c>
    </row>
    <row r="133" spans="2:17" x14ac:dyDescent="0.2">
      <c r="B133" s="13"/>
      <c r="Q133" t="s">
        <v>581</v>
      </c>
    </row>
    <row r="134" spans="2:17" x14ac:dyDescent="0.2">
      <c r="B134" s="13" t="s">
        <v>350</v>
      </c>
      <c r="E134" s="16">
        <f>'IS Neu'!D12</f>
        <v>1114.2</v>
      </c>
      <c r="F134" s="16">
        <f>'IS Neu'!E12</f>
        <v>1206.9000000000001</v>
      </c>
      <c r="G134" s="16">
        <f>'IS Neu'!F12</f>
        <v>1474</v>
      </c>
      <c r="H134" s="16">
        <f>'IS Neu'!G12</f>
        <v>1707</v>
      </c>
      <c r="I134" s="16">
        <f>'IS Neu'!H12</f>
        <v>1847</v>
      </c>
      <c r="J134" s="16">
        <f>'IS Neu'!I12</f>
        <v>2240</v>
      </c>
      <c r="K134" s="16">
        <f>'IS Neu'!J12</f>
        <v>2800</v>
      </c>
      <c r="L134" s="16">
        <f>'IS Neu'!K12</f>
        <v>2930.0039999999995</v>
      </c>
      <c r="M134" s="16">
        <f>'IS Neu'!L12</f>
        <v>3662.0576999999998</v>
      </c>
      <c r="N134" s="16">
        <f>'IS Neu'!M12</f>
        <v>4236.7788287999992</v>
      </c>
      <c r="O134" s="16">
        <f>'IS Neu'!N12</f>
        <v>5090.2078033799989</v>
      </c>
    </row>
    <row r="135" spans="2:17" x14ac:dyDescent="0.2">
      <c r="Q135" t="s">
        <v>582</v>
      </c>
    </row>
    <row r="136" spans="2:17" x14ac:dyDescent="0.2">
      <c r="B136" s="13" t="s">
        <v>393</v>
      </c>
      <c r="E136" s="16">
        <f>'BS Neu'!D52</f>
        <v>185.1</v>
      </c>
      <c r="F136" s="16">
        <f>'BS Neu'!E52</f>
        <v>193.6</v>
      </c>
      <c r="G136" s="16">
        <f>'BS Neu'!F52</f>
        <v>188</v>
      </c>
      <c r="H136" s="16">
        <f>'BS Neu'!G52</f>
        <v>181</v>
      </c>
      <c r="I136" s="16">
        <f>'BS Neu'!H52</f>
        <v>221</v>
      </c>
      <c r="J136" s="16">
        <f>'BS Neu'!I52</f>
        <v>257</v>
      </c>
      <c r="K136" s="16">
        <f>K138*$Q$136</f>
        <v>252</v>
      </c>
      <c r="L136" s="16">
        <f t="shared" ref="L136:O136" si="36">L138*$Q$136</f>
        <v>263.70035999999993</v>
      </c>
      <c r="M136" s="16">
        <f t="shared" si="36"/>
        <v>329.58519299999995</v>
      </c>
      <c r="N136" s="16">
        <f t="shared" si="36"/>
        <v>381.31009459199987</v>
      </c>
      <c r="O136" s="16">
        <f t="shared" si="36"/>
        <v>458.11870230419987</v>
      </c>
      <c r="Q136" s="279">
        <v>0.3</v>
      </c>
    </row>
    <row r="137" spans="2:17" x14ac:dyDescent="0.2">
      <c r="B137" s="13" t="s">
        <v>385</v>
      </c>
      <c r="E137" s="16">
        <f>'BS Neu'!D43</f>
        <v>413.6</v>
      </c>
      <c r="F137" s="16">
        <f ca="1">'BS Neu'!E43</f>
        <v>482.6</v>
      </c>
      <c r="G137" s="16">
        <f ca="1">'BS Neu'!F43</f>
        <v>497</v>
      </c>
      <c r="H137" s="16">
        <f ca="1">'BS Neu'!G43</f>
        <v>282</v>
      </c>
      <c r="I137" s="16">
        <f ca="1">'BS Neu'!H43</f>
        <v>357</v>
      </c>
      <c r="J137" s="16">
        <f ca="1">'BS Neu'!I43</f>
        <v>418</v>
      </c>
      <c r="K137" s="16">
        <f>K138*$Q$137</f>
        <v>588</v>
      </c>
      <c r="L137" s="16">
        <f t="shared" ref="L137:O137" si="37">L138*$Q$137</f>
        <v>615.30083999999988</v>
      </c>
      <c r="M137" s="16">
        <f t="shared" si="37"/>
        <v>769.03211699999986</v>
      </c>
      <c r="N137" s="16">
        <f t="shared" si="37"/>
        <v>889.72355404799976</v>
      </c>
      <c r="O137" s="16">
        <f t="shared" si="37"/>
        <v>1068.9436387097996</v>
      </c>
      <c r="Q137" s="137">
        <v>0.7</v>
      </c>
    </row>
    <row r="138" spans="2:17" x14ac:dyDescent="0.2">
      <c r="B138" s="13" t="s">
        <v>574</v>
      </c>
      <c r="E138" s="16">
        <f>SUM(E136:E137)</f>
        <v>598.70000000000005</v>
      </c>
      <c r="F138" s="16">
        <f t="shared" ref="F138:J138" ca="1" si="38">SUM(F136:F137)</f>
        <v>676.2</v>
      </c>
      <c r="G138" s="16">
        <f t="shared" ca="1" si="38"/>
        <v>685</v>
      </c>
      <c r="H138" s="16">
        <f t="shared" ca="1" si="38"/>
        <v>463</v>
      </c>
      <c r="I138" s="16">
        <f t="shared" ca="1" si="38"/>
        <v>578</v>
      </c>
      <c r="J138" s="16">
        <f t="shared" ca="1" si="38"/>
        <v>675</v>
      </c>
      <c r="K138" s="16">
        <f>K134*$S$11</f>
        <v>840</v>
      </c>
      <c r="L138" s="16">
        <f t="shared" ref="L138:O138" si="39">L134*$S$11</f>
        <v>879.00119999999981</v>
      </c>
      <c r="M138" s="16">
        <f t="shared" si="39"/>
        <v>1098.6173099999999</v>
      </c>
      <c r="N138" s="16">
        <f t="shared" si="39"/>
        <v>1271.0336486399997</v>
      </c>
      <c r="O138" s="16">
        <f t="shared" si="39"/>
        <v>1527.0623410139997</v>
      </c>
    </row>
    <row r="139" spans="2:17" x14ac:dyDescent="0.2">
      <c r="B139" s="13" t="s">
        <v>575</v>
      </c>
      <c r="E139" s="68">
        <f>E138/E134</f>
        <v>0.5373362053491294</v>
      </c>
      <c r="F139" s="68">
        <f t="shared" ref="F139:J139" ca="1" si="40">F138/F134</f>
        <v>0.56027839920457367</v>
      </c>
      <c r="G139" s="68">
        <f t="shared" ca="1" si="40"/>
        <v>0.46472184531886024</v>
      </c>
      <c r="H139" s="68">
        <f t="shared" ca="1" si="40"/>
        <v>0.27123608670181604</v>
      </c>
      <c r="I139" s="68">
        <f t="shared" ca="1" si="40"/>
        <v>0.31293990254466703</v>
      </c>
      <c r="J139" s="68">
        <f t="shared" ca="1" si="40"/>
        <v>0.3013392857142857</v>
      </c>
      <c r="K139" s="96">
        <f ca="1">AVERAGE(H139:J139)</f>
        <v>0.29517175832025627</v>
      </c>
      <c r="L139" s="96">
        <f t="shared" ref="L139:O139" ca="1" si="41">AVERAGE(I139:K139)</f>
        <v>0.30315031552640298</v>
      </c>
      <c r="M139" s="96">
        <f t="shared" ca="1" si="41"/>
        <v>0.29988711985364835</v>
      </c>
      <c r="N139" s="96">
        <f t="shared" ca="1" si="41"/>
        <v>0.29940306456676918</v>
      </c>
      <c r="O139" s="96">
        <f t="shared" ca="1" si="41"/>
        <v>0.30081349998227352</v>
      </c>
      <c r="Q139" t="s">
        <v>579</v>
      </c>
    </row>
    <row r="141" spans="2:17" x14ac:dyDescent="0.2">
      <c r="B141" s="13" t="s">
        <v>576</v>
      </c>
    </row>
    <row r="142" spans="2:17" x14ac:dyDescent="0.2">
      <c r="B142" s="13" t="s">
        <v>577</v>
      </c>
      <c r="E142" s="68">
        <f>E136/E138</f>
        <v>0.30916986804743607</v>
      </c>
      <c r="F142" s="68">
        <f t="shared" ref="F142:J142" ca="1" si="42">F136/F138</f>
        <v>0.28630582667849747</v>
      </c>
      <c r="G142" s="68">
        <f t="shared" ca="1" si="42"/>
        <v>0.27445255474452557</v>
      </c>
      <c r="H142" s="68">
        <f t="shared" ca="1" si="42"/>
        <v>0.39092872570194387</v>
      </c>
      <c r="I142" s="68">
        <f t="shared" ca="1" si="42"/>
        <v>0.38235294117647056</v>
      </c>
      <c r="J142" s="68">
        <f t="shared" ca="1" si="42"/>
        <v>0.38074074074074077</v>
      </c>
    </row>
    <row r="143" spans="2:17" x14ac:dyDescent="0.2">
      <c r="B143" s="13" t="s">
        <v>578</v>
      </c>
      <c r="E143" s="68">
        <f>E137/E138</f>
        <v>0.69083013195256382</v>
      </c>
      <c r="F143" s="68">
        <f t="shared" ref="F143:J143" ca="1" si="43">F137/F138</f>
        <v>0.71369417332150253</v>
      </c>
      <c r="G143" s="68">
        <f t="shared" ca="1" si="43"/>
        <v>0.72554744525547443</v>
      </c>
      <c r="H143" s="68">
        <f t="shared" ca="1" si="43"/>
        <v>0.60907127429805619</v>
      </c>
      <c r="I143" s="68">
        <f t="shared" ca="1" si="43"/>
        <v>0.61764705882352944</v>
      </c>
      <c r="J143" s="68">
        <f t="shared" ca="1" si="43"/>
        <v>0.61925925925925929</v>
      </c>
    </row>
    <row r="145" spans="2:15" x14ac:dyDescent="0.2">
      <c r="B145" s="13" t="s">
        <v>585</v>
      </c>
      <c r="F145" s="16">
        <f ca="1">F138-E138</f>
        <v>77.5</v>
      </c>
      <c r="G145" s="16">
        <f t="shared" ref="G145:O145" ca="1" si="44">G138-F138</f>
        <v>8.7999999999999545</v>
      </c>
      <c r="H145" s="16">
        <f t="shared" ca="1" si="44"/>
        <v>-222</v>
      </c>
      <c r="I145" s="16">
        <f t="shared" ca="1" si="44"/>
        <v>115</v>
      </c>
      <c r="J145" s="16">
        <f t="shared" ca="1" si="44"/>
        <v>97</v>
      </c>
      <c r="K145" s="16">
        <f ca="1">K138-J138</f>
        <v>165</v>
      </c>
      <c r="L145" s="16">
        <f t="shared" si="44"/>
        <v>39.001199999999812</v>
      </c>
      <c r="M145" s="16">
        <f t="shared" si="44"/>
        <v>219.61611000000005</v>
      </c>
      <c r="N145" s="16">
        <f t="shared" si="44"/>
        <v>172.41633863999982</v>
      </c>
      <c r="O145" s="16">
        <f t="shared" si="44"/>
        <v>256.028692374</v>
      </c>
    </row>
    <row r="147" spans="2:15" x14ac:dyDescent="0.2">
      <c r="B147" s="367" t="s">
        <v>726</v>
      </c>
      <c r="C147" s="368"/>
      <c r="D147" s="368"/>
      <c r="E147" s="369"/>
      <c r="F147" s="369">
        <f t="shared" ref="F147:O147" si="45">E53</f>
        <v>137.4</v>
      </c>
      <c r="G147" s="369">
        <f t="shared" si="45"/>
        <v>645.5</v>
      </c>
      <c r="H147" s="369">
        <f t="shared" si="45"/>
        <v>529</v>
      </c>
      <c r="I147" s="369">
        <f t="shared" si="45"/>
        <v>460</v>
      </c>
      <c r="J147" s="369">
        <f t="shared" si="45"/>
        <v>802</v>
      </c>
      <c r="K147" s="369">
        <f t="shared" si="45"/>
        <v>733</v>
      </c>
      <c r="L147" s="369">
        <f t="shared" ca="1" si="45"/>
        <v>936.2180084401524</v>
      </c>
      <c r="M147" s="369">
        <f t="shared" ca="1" si="45"/>
        <v>1136.5753999086919</v>
      </c>
      <c r="N147" s="369">
        <f t="shared" ca="1" si="45"/>
        <v>1486.0689226129216</v>
      </c>
      <c r="O147" s="369">
        <f t="shared" ca="1" si="45"/>
        <v>1825.2818905528547</v>
      </c>
    </row>
    <row r="148" spans="2:15" x14ac:dyDescent="0.2">
      <c r="B148" s="370" t="s">
        <v>727</v>
      </c>
      <c r="C148" s="368"/>
      <c r="D148" s="368"/>
      <c r="E148" s="369"/>
      <c r="F148" s="369">
        <f>'CF Neu '!H20</f>
        <v>71.199999999999974</v>
      </c>
      <c r="G148" s="369">
        <f>'CF Neu '!I20</f>
        <v>268</v>
      </c>
      <c r="H148" s="369">
        <f>'CF Neu '!J20</f>
        <v>216</v>
      </c>
      <c r="I148" s="369">
        <f>'CF Neu '!K20</f>
        <v>211</v>
      </c>
      <c r="J148" s="369">
        <f>'CF Neu '!L20</f>
        <v>263</v>
      </c>
      <c r="K148" s="369">
        <f ca="1">'CF Neu '!M20</f>
        <v>571.88428530088652</v>
      </c>
      <c r="L148" s="369">
        <f ca="1">'CF Neu '!N20</f>
        <v>607.70600216234982</v>
      </c>
      <c r="M148" s="369">
        <f ca="1">'CF Neu '!O20</f>
        <v>872.1618009907462</v>
      </c>
      <c r="N148" s="369">
        <f ca="1">'CF Neu '!P20</f>
        <v>965.8676375603327</v>
      </c>
      <c r="O148" s="369">
        <f ca="1">'CF Neu '!Q20</f>
        <v>1168.7599547244563</v>
      </c>
    </row>
    <row r="149" spans="2:15" x14ac:dyDescent="0.2">
      <c r="B149" s="370" t="s">
        <v>728</v>
      </c>
      <c r="C149" s="368"/>
      <c r="D149" s="368"/>
      <c r="E149" s="369"/>
      <c r="F149" s="369">
        <f>'CF Neu '!H26</f>
        <v>30.799999999999997</v>
      </c>
      <c r="G149" s="369">
        <f>'CF Neu '!I26</f>
        <v>-86</v>
      </c>
      <c r="H149" s="369">
        <f>'CF Neu '!J26</f>
        <v>-73</v>
      </c>
      <c r="I149" s="369">
        <f>'CF Neu '!K26</f>
        <v>-68</v>
      </c>
      <c r="J149" s="369">
        <f>'CF Neu '!L26</f>
        <v>-695</v>
      </c>
      <c r="K149" s="369">
        <f>'CF Neu '!M26</f>
        <v>-286</v>
      </c>
      <c r="L149" s="369">
        <f>'CF Neu '!N26</f>
        <v>-301.60047999999995</v>
      </c>
      <c r="M149" s="369">
        <f>'CF Neu '!O26</f>
        <v>-389.44692399999997</v>
      </c>
      <c r="N149" s="369">
        <f>'CF Neu '!P26</f>
        <v>-458.41345945599988</v>
      </c>
      <c r="O149" s="369">
        <f>'CF Neu '!Q26</f>
        <v>-560.82493640559983</v>
      </c>
    </row>
    <row r="150" spans="2:15" x14ac:dyDescent="0.2">
      <c r="B150" s="370" t="s">
        <v>729</v>
      </c>
      <c r="C150" s="368"/>
      <c r="D150" s="368"/>
      <c r="E150" s="369"/>
      <c r="F150" s="369"/>
      <c r="G150" s="369"/>
      <c r="H150" s="369"/>
      <c r="I150" s="369"/>
      <c r="J150" s="369"/>
      <c r="K150" s="371">
        <f>K85-K83</f>
        <v>-0.1</v>
      </c>
      <c r="L150" s="371">
        <f>L85-L83</f>
        <v>-8.3999999999999986</v>
      </c>
      <c r="M150" s="371">
        <f>M85-M83</f>
        <v>0</v>
      </c>
      <c r="N150" s="371">
        <f>N85-N83</f>
        <v>0</v>
      </c>
      <c r="O150" s="371">
        <f>O85-O83</f>
        <v>0</v>
      </c>
    </row>
    <row r="151" spans="2:15" x14ac:dyDescent="0.2">
      <c r="B151" s="370" t="s">
        <v>730</v>
      </c>
      <c r="C151" s="368"/>
      <c r="D151" s="368"/>
      <c r="E151" s="369"/>
      <c r="F151" s="369">
        <f>'CF Neu '!G32</f>
        <v>-0.2</v>
      </c>
      <c r="G151" s="369">
        <f>'CF Neu '!H32</f>
        <v>0</v>
      </c>
      <c r="H151" s="369">
        <f>'CF Neu '!I32</f>
        <v>-14</v>
      </c>
      <c r="I151" s="369">
        <f>'CF Neu '!J32</f>
        <v>-26</v>
      </c>
      <c r="J151" s="369">
        <f>'CF Neu '!K32</f>
        <v>-32</v>
      </c>
      <c r="K151" s="369">
        <f>'CF Neu '!L32</f>
        <v>-46</v>
      </c>
      <c r="L151" s="369">
        <f>'CF Neu '!M32</f>
        <v>-137.33807072880009</v>
      </c>
      <c r="M151" s="369">
        <f ca="1">'CF Neu '!N32</f>
        <v>-155.5184951906495</v>
      </c>
      <c r="N151" s="369">
        <f ca="1">'CF Neu '!O32</f>
        <v>-218.47682989842099</v>
      </c>
      <c r="O151" s="369">
        <f ca="1">'CF Neu '!P32</f>
        <v>-272.46881639052805</v>
      </c>
    </row>
    <row r="152" spans="2:15" x14ac:dyDescent="0.2">
      <c r="B152" s="372" t="s">
        <v>731</v>
      </c>
      <c r="C152" s="368"/>
      <c r="D152" s="368"/>
      <c r="E152" s="369"/>
      <c r="F152" s="369">
        <f>SUM(F147:F151)</f>
        <v>239.2</v>
      </c>
      <c r="G152" s="369">
        <f t="shared" ref="G152:J152" si="46">SUM(G147:G151)</f>
        <v>827.5</v>
      </c>
      <c r="H152" s="369">
        <f t="shared" si="46"/>
        <v>658</v>
      </c>
      <c r="I152" s="369">
        <f t="shared" si="46"/>
        <v>577</v>
      </c>
      <c r="J152" s="369">
        <f t="shared" si="46"/>
        <v>338</v>
      </c>
      <c r="K152" s="369">
        <f ca="1">SUM(K147:K151)</f>
        <v>972.78428530088638</v>
      </c>
      <c r="L152" s="369">
        <f t="shared" ref="L152" ca="1" si="47">SUM(L147:L151)</f>
        <v>1096.5854598737019</v>
      </c>
      <c r="M152" s="369">
        <f t="shared" ref="M152" ca="1" si="48">SUM(M147:M151)</f>
        <v>1463.7717817087887</v>
      </c>
      <c r="N152" s="369">
        <f t="shared" ref="N152" ca="1" si="49">SUM(N147:N151)</f>
        <v>1775.0462708188334</v>
      </c>
      <c r="O152" s="369">
        <f t="shared" ref="O152" ca="1" si="50">SUM(O147:O151)</f>
        <v>2160.748092481183</v>
      </c>
    </row>
    <row r="153" spans="2:15" x14ac:dyDescent="0.2">
      <c r="B153" s="372" t="s">
        <v>732</v>
      </c>
      <c r="C153" s="368"/>
      <c r="D153" s="373">
        <f>Inputs!AA18</f>
        <v>0.3</v>
      </c>
      <c r="E153" s="369"/>
      <c r="F153" s="374">
        <f>F152/'Revenue &amp; Expenses (updated)'!H22</f>
        <v>0.19834162520729684</v>
      </c>
      <c r="G153" s="374">
        <f>G152/'Revenue &amp; Expenses (updated)'!I22</f>
        <v>0.56139755766621424</v>
      </c>
      <c r="H153" s="374">
        <f>H152/'Revenue &amp; Expenses (updated)'!J22</f>
        <v>0.38547158758055067</v>
      </c>
      <c r="I153" s="374">
        <f>I152/'Revenue &amp; Expenses (updated)'!K22</f>
        <v>0.30789754535752395</v>
      </c>
      <c r="J153" s="374">
        <f>J152/'Revenue &amp; Expenses (updated)'!L22</f>
        <v>0.15089285714285713</v>
      </c>
      <c r="K153" s="375">
        <f>$D$153*'Revenue &amp; Expenses (updated)'!M22*-1</f>
        <v>-840</v>
      </c>
      <c r="L153" s="375">
        <f>$D$153*'Revenue &amp; Expenses (updated)'!N22*-1</f>
        <v>-879.00119999999981</v>
      </c>
      <c r="M153" s="375">
        <f>$D$153*'Revenue &amp; Expenses (updated)'!O22*-1</f>
        <v>-1098.6173099999999</v>
      </c>
      <c r="N153" s="375">
        <f>$D$153*'Revenue &amp; Expenses (updated)'!P22*-1</f>
        <v>-1271.0336486399997</v>
      </c>
      <c r="O153" s="375">
        <f>$D$153*'Revenue &amp; Expenses (updated)'!Q22*-1</f>
        <v>-1527.0623410139997</v>
      </c>
    </row>
    <row r="154" spans="2:15" x14ac:dyDescent="0.2">
      <c r="B154" s="372" t="s">
        <v>733</v>
      </c>
      <c r="C154" s="368"/>
      <c r="D154" s="368"/>
      <c r="E154" s="369"/>
      <c r="F154" s="369"/>
      <c r="G154" s="369"/>
      <c r="H154" s="369"/>
      <c r="I154" s="369"/>
      <c r="J154" s="369"/>
      <c r="K154" s="371">
        <f ca="1">SUM(K152:K153)</f>
        <v>132.78428530088638</v>
      </c>
      <c r="L154" s="371">
        <f t="shared" ref="L154:O154" ca="1" si="51">SUM(L152:L153)</f>
        <v>217.58425987370208</v>
      </c>
      <c r="M154" s="371">
        <f t="shared" ca="1" si="51"/>
        <v>365.15447170878883</v>
      </c>
      <c r="N154" s="371">
        <f t="shared" ca="1" si="51"/>
        <v>504.01262217883368</v>
      </c>
      <c r="O154" s="371">
        <f t="shared" ca="1" si="51"/>
        <v>633.68575146718331</v>
      </c>
    </row>
    <row r="155" spans="2:15" x14ac:dyDescent="0.2">
      <c r="B155" s="372" t="s">
        <v>735</v>
      </c>
      <c r="C155" s="368"/>
      <c r="D155" s="368"/>
      <c r="E155" s="369"/>
      <c r="F155" s="369"/>
      <c r="G155" s="369"/>
      <c r="H155" s="369"/>
      <c r="I155" s="369"/>
      <c r="J155" s="369"/>
      <c r="K155" s="371"/>
      <c r="L155" s="371"/>
      <c r="M155" s="371"/>
      <c r="N155" s="371"/>
      <c r="O155" s="371"/>
    </row>
    <row r="156" spans="2:15" x14ac:dyDescent="0.2">
      <c r="B156" s="170"/>
      <c r="E156" s="63"/>
      <c r="F156" s="63"/>
      <c r="G156" s="63"/>
      <c r="H156" s="63"/>
      <c r="I156" s="63"/>
      <c r="J156" s="63"/>
      <c r="K156" s="151"/>
      <c r="L156" s="151"/>
      <c r="M156" s="151"/>
      <c r="N156" s="151"/>
      <c r="O156" s="151"/>
    </row>
    <row r="157" spans="2:15" x14ac:dyDescent="0.2">
      <c r="B157" s="51"/>
      <c r="C157" s="22"/>
      <c r="K157" s="242"/>
      <c r="L157" s="242"/>
      <c r="M157" s="242"/>
      <c r="N157" s="242"/>
      <c r="O157" s="242"/>
    </row>
  </sheetData>
  <dataValidations count="5">
    <dataValidation type="list" allowBlank="1" showInputMessage="1" showErrorMessage="1" sqref="S4:S5 S10" xr:uid="{4D6D811F-D584-A944-B10F-9BCE32F29A06}">
      <formula1>"1, 2,"</formula1>
    </dataValidation>
    <dataValidation type="list" allowBlank="1" showInputMessage="1" showErrorMessage="1" sqref="U4" xr:uid="{8F0B4911-310B-EA44-BF00-9C1DCE4E4CBF}">
      <formula1>"1, 2, 3"</formula1>
    </dataValidation>
    <dataValidation type="list" allowBlank="1" showInputMessage="1" showErrorMessage="1" sqref="S7" xr:uid="{8D4AFB7F-0D09-FD4C-ADB8-204AF7BD603B}">
      <formula1>"1, 2, 3, 4"</formula1>
    </dataValidation>
    <dataValidation type="list" allowBlank="1" showInputMessage="1" showErrorMessage="1" sqref="S6" xr:uid="{B6726542-2E51-9246-8514-4C586DA19B6D}">
      <formula1>"1, 2, 3,"</formula1>
    </dataValidation>
    <dataValidation type="list" allowBlank="1" showInputMessage="1" showErrorMessage="1" sqref="S3" xr:uid="{F0F2B286-B393-5E4C-BF0A-82B041294BAD}">
      <formula1>"1, 2, 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AC2F-AFD9-A94D-9D63-1726F0774CD0}">
  <dimension ref="A1:V65"/>
  <sheetViews>
    <sheetView showGridLines="0" zoomScale="75" workbookViewId="0">
      <selection activeCell="Z52" sqref="Z52"/>
    </sheetView>
  </sheetViews>
  <sheetFormatPr baseColWidth="10" defaultRowHeight="16" x14ac:dyDescent="0.2"/>
  <cols>
    <col min="5" max="5" width="12.6640625" bestFit="1" customWidth="1"/>
    <col min="8" max="8" width="11.5" bestFit="1" customWidth="1"/>
    <col min="9" max="9" width="14.1640625" customWidth="1"/>
    <col min="10" max="10" width="16" customWidth="1"/>
    <col min="11" max="15" width="11.5" bestFit="1" customWidth="1"/>
    <col min="16" max="16" width="11.6640625" customWidth="1"/>
    <col min="17" max="17" width="11.5" bestFit="1" customWidth="1"/>
  </cols>
  <sheetData>
    <row r="1" spans="1:22" ht="25" thickBot="1" x14ac:dyDescent="0.35">
      <c r="A1" s="10" t="str">
        <f>_xlfn.CONCAT(Inputs!C7, " - ", "DCF Model", " - ", "in ", Inputs!C9, " ", Inputs!C10)</f>
        <v>HAG - DCF Model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7" thickTop="1" x14ac:dyDescent="0.2"/>
    <row r="4" spans="1:22" x14ac:dyDescent="0.2">
      <c r="B4" t="s">
        <v>9</v>
      </c>
      <c r="D4" s="7"/>
      <c r="E4" s="7"/>
      <c r="F4" s="7"/>
      <c r="G4" s="9">
        <f>EDATE(Inputs!$C$8, G5*12)</f>
        <v>43830</v>
      </c>
      <c r="H4" s="9">
        <f>EDATE(Inputs!$C$8, H5*12)</f>
        <v>44196</v>
      </c>
      <c r="I4" s="9">
        <f>EDATE(Inputs!$C$8, I5*12)</f>
        <v>44561</v>
      </c>
      <c r="J4" s="9">
        <f>EDATE(Inputs!$C$8, J5*12)</f>
        <v>44926</v>
      </c>
      <c r="K4" s="9">
        <f>EDATE(Inputs!$C$8, K5*12)</f>
        <v>45291</v>
      </c>
      <c r="L4" s="9">
        <f>EDATE(Inputs!$C$8, L5*12)</f>
        <v>45657</v>
      </c>
      <c r="M4" s="9">
        <f>EDATE(Inputs!$C$8, M5*12)</f>
        <v>46022</v>
      </c>
      <c r="N4" s="9">
        <f>EDATE(Inputs!$C$8, N5*12)</f>
        <v>46387</v>
      </c>
      <c r="O4" s="9">
        <f>EDATE(Inputs!$C$8, O5*12)</f>
        <v>46752</v>
      </c>
      <c r="P4" s="9">
        <f>EDATE(Inputs!$C$8, P5*12)</f>
        <v>47118</v>
      </c>
      <c r="Q4" s="9">
        <f>EDATE(Inputs!$C$8, Q5*12)</f>
        <v>47483</v>
      </c>
      <c r="R4" t="s">
        <v>843</v>
      </c>
    </row>
    <row r="5" spans="1:22" x14ac:dyDescent="0.2">
      <c r="B5" t="s">
        <v>10</v>
      </c>
      <c r="D5" s="8"/>
      <c r="E5" s="8"/>
      <c r="F5" s="8"/>
      <c r="G5" s="8">
        <v>-5</v>
      </c>
      <c r="H5" s="8">
        <v>-4</v>
      </c>
      <c r="I5" s="8">
        <v>-3</v>
      </c>
      <c r="J5" s="8">
        <v>-2</v>
      </c>
      <c r="K5" s="8">
        <v>-1</v>
      </c>
      <c r="L5" s="8">
        <v>0</v>
      </c>
      <c r="M5" s="8">
        <v>1</v>
      </c>
      <c r="N5" s="8">
        <v>2</v>
      </c>
      <c r="O5" s="8">
        <v>3</v>
      </c>
      <c r="P5" s="8">
        <v>4</v>
      </c>
      <c r="Q5" s="8">
        <v>5</v>
      </c>
    </row>
    <row r="6" spans="1:22" x14ac:dyDescent="0.2">
      <c r="B6" t="s">
        <v>11</v>
      </c>
      <c r="D6" s="8"/>
      <c r="E6" s="8"/>
      <c r="F6" s="8"/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  <c r="O6" s="8" t="str">
        <f>_xlfn.CONCAT(Inputs!$C$9, " ", Inputs!$C$10)</f>
        <v>Euro millions</v>
      </c>
      <c r="P6" s="8" t="str">
        <f>_xlfn.CONCAT(Inputs!$C$9, " ", Inputs!$C$10)</f>
        <v>Euro millions</v>
      </c>
      <c r="Q6" s="8" t="str">
        <f>_xlfn.CONCAT(Inputs!$C$9, " ", Inputs!$C$10)</f>
        <v>Euro millions</v>
      </c>
      <c r="T6" s="13" t="s">
        <v>591</v>
      </c>
    </row>
    <row r="7" spans="1:22" x14ac:dyDescent="0.2">
      <c r="B7" t="s">
        <v>12</v>
      </c>
      <c r="D7" s="8"/>
      <c r="E7" s="8"/>
      <c r="F7" s="8"/>
      <c r="G7" s="8" t="str">
        <f>IF(G5&lt;=0, "Historical", "Forecasted")</f>
        <v>Historical</v>
      </c>
      <c r="H7" s="8" t="str">
        <f>IF(H5&lt;=0, "Historical", "Forecasted")</f>
        <v>Historical</v>
      </c>
      <c r="I7" s="8" t="str">
        <f t="shared" ref="I7:Q7" si="0">IF(I5&lt;=0, "Historical", "Forecasted")</f>
        <v>Historical</v>
      </c>
      <c r="J7" s="8" t="str">
        <f t="shared" si="0"/>
        <v>Historical</v>
      </c>
      <c r="K7" s="8" t="str">
        <f t="shared" si="0"/>
        <v>Historical</v>
      </c>
      <c r="L7" s="8" t="str">
        <f t="shared" si="0"/>
        <v>Historical</v>
      </c>
      <c r="M7" s="8" t="str">
        <f t="shared" si="0"/>
        <v>Forecasted</v>
      </c>
      <c r="N7" s="8" t="str">
        <f t="shared" si="0"/>
        <v>Forecasted</v>
      </c>
      <c r="O7" s="8" t="str">
        <f t="shared" si="0"/>
        <v>Forecasted</v>
      </c>
      <c r="P7" s="8" t="str">
        <f t="shared" si="0"/>
        <v>Forecasted</v>
      </c>
      <c r="Q7" s="8" t="str">
        <f t="shared" si="0"/>
        <v>Forecasted</v>
      </c>
      <c r="T7" t="s">
        <v>490</v>
      </c>
    </row>
    <row r="8" spans="1:22" x14ac:dyDescent="0.2">
      <c r="T8" t="s">
        <v>597</v>
      </c>
    </row>
    <row r="9" spans="1:22" x14ac:dyDescent="0.2">
      <c r="B9" s="13" t="s">
        <v>636</v>
      </c>
      <c r="E9" s="62">
        <v>2</v>
      </c>
    </row>
    <row r="10" spans="1:22" x14ac:dyDescent="0.2">
      <c r="T10" t="s">
        <v>614</v>
      </c>
    </row>
    <row r="11" spans="1:22" x14ac:dyDescent="0.2">
      <c r="B11" s="13" t="s">
        <v>164</v>
      </c>
      <c r="G11" s="16">
        <f>'IS Neu'!D18</f>
        <v>62.100000000000094</v>
      </c>
      <c r="H11" s="16">
        <f>'IS Neu'!E18</f>
        <v>68.500000000000071</v>
      </c>
      <c r="I11" s="16">
        <f>'IS Neu'!F18</f>
        <v>126</v>
      </c>
      <c r="J11" s="16">
        <f>'IS Neu'!G18</f>
        <v>166</v>
      </c>
      <c r="K11" s="16">
        <f>'IS Neu'!H18</f>
        <v>167</v>
      </c>
      <c r="L11" s="16">
        <f>'IS Neu'!I18</f>
        <v>184</v>
      </c>
      <c r="M11" s="16">
        <f>'IS Neu'!J18</f>
        <v>476.00000000000023</v>
      </c>
      <c r="N11" s="16">
        <f>'IS Neu'!K18</f>
        <v>527.40072000000009</v>
      </c>
      <c r="O11" s="16">
        <f>'IS Neu'!L18</f>
        <v>695.79096300000003</v>
      </c>
      <c r="P11" s="16">
        <f>'IS Neu'!M18</f>
        <v>804.98797747199967</v>
      </c>
      <c r="Q11" s="16">
        <f>'IS Neu'!N18</f>
        <v>967.1394826421996</v>
      </c>
    </row>
    <row r="12" spans="1:22" x14ac:dyDescent="0.2">
      <c r="B12" s="13" t="s">
        <v>596</v>
      </c>
      <c r="E12" s="313">
        <v>0.28299999999999997</v>
      </c>
      <c r="G12" s="284">
        <f>('IS Neu'!D23*-1)/G11</f>
        <v>0.44122383252817965</v>
      </c>
      <c r="H12" s="284">
        <f>('IS Neu'!E23*-1)/H11</f>
        <v>-0.15620437956204361</v>
      </c>
      <c r="I12" s="284">
        <f>('IS Neu'!F23*-1)/I11</f>
        <v>0.17460317460317459</v>
      </c>
      <c r="J12" s="284">
        <f>('IS Neu'!G23*-1)/J11</f>
        <v>0.29518072289156627</v>
      </c>
      <c r="K12" s="284">
        <f>('IS Neu'!H23*-1)/K11</f>
        <v>0.21556886227544911</v>
      </c>
      <c r="L12" s="284">
        <f>('IS Neu'!I23*-1)/L11</f>
        <v>6.5217391304347824E-2</v>
      </c>
      <c r="M12" s="285">
        <f>$E$12</f>
        <v>0.28299999999999997</v>
      </c>
      <c r="N12" s="285">
        <f t="shared" ref="N12:Q12" si="1">$E$12</f>
        <v>0.28299999999999997</v>
      </c>
      <c r="O12" s="285">
        <f t="shared" si="1"/>
        <v>0.28299999999999997</v>
      </c>
      <c r="P12" s="285">
        <f t="shared" si="1"/>
        <v>0.28299999999999997</v>
      </c>
      <c r="Q12" s="285">
        <f t="shared" si="1"/>
        <v>0.28299999999999997</v>
      </c>
      <c r="T12" t="s">
        <v>615</v>
      </c>
      <c r="V12" s="286" t="s">
        <v>617</v>
      </c>
    </row>
    <row r="13" spans="1:22" ht="17" thickBot="1" x14ac:dyDescent="0.25">
      <c r="B13" s="13" t="s">
        <v>595</v>
      </c>
      <c r="M13" s="28">
        <f>M11*(1-$E$12)</f>
        <v>341.2920000000002</v>
      </c>
      <c r="N13" s="28">
        <f>N11*(1-$E$12)</f>
        <v>378.14631624000009</v>
      </c>
      <c r="O13" s="28">
        <f>O11*(1-$E$12)</f>
        <v>498.88212047100006</v>
      </c>
      <c r="P13" s="28">
        <f>P11*(1-$E$12)</f>
        <v>577.17637984742385</v>
      </c>
      <c r="Q13" s="28">
        <f>Q11*(1-$E$12)</f>
        <v>693.43900905445719</v>
      </c>
    </row>
    <row r="14" spans="1:22" x14ac:dyDescent="0.2">
      <c r="B14" s="13" t="s">
        <v>594</v>
      </c>
      <c r="M14" s="16">
        <f>'FA-Forecast (updated)'!M84</f>
        <v>263.03730059970013</v>
      </c>
      <c r="N14" s="16">
        <f ca="1">'FA-Forecast (updated)'!N84</f>
        <v>270.9899722870947</v>
      </c>
      <c r="O14" s="16">
        <f ca="1">'FA-Forecast (updated)'!O84</f>
        <v>279.64549685498025</v>
      </c>
      <c r="P14" s="16">
        <f ca="1">'FA-Forecast (updated)'!P84</f>
        <v>296.85834270159762</v>
      </c>
      <c r="Q14" s="16">
        <f ca="1">'FA-Forecast (updated)'!Q84</f>
        <v>319.58634017572115</v>
      </c>
      <c r="T14" t="s">
        <v>616</v>
      </c>
    </row>
    <row r="15" spans="1:22" x14ac:dyDescent="0.2">
      <c r="B15" s="13" t="s">
        <v>593</v>
      </c>
      <c r="M15" s="205">
        <f ca="1">'CF Neu '!M17</f>
        <v>-44.391833561969804</v>
      </c>
      <c r="N15" s="205">
        <f>'CF Neu '!N17</f>
        <v>28.520057677306681</v>
      </c>
      <c r="O15" s="205">
        <f>'CF Neu '!O17</f>
        <v>154.90912017178007</v>
      </c>
      <c r="P15" s="205">
        <f>'CF Neu '!P17</f>
        <v>120.53531801785815</v>
      </c>
      <c r="Q15" s="205">
        <f>'CF Neu '!Q17</f>
        <v>178.98825656791252</v>
      </c>
    </row>
    <row r="16" spans="1:22" x14ac:dyDescent="0.2">
      <c r="B16" s="13" t="s">
        <v>592</v>
      </c>
      <c r="M16" s="16">
        <f>'FA-Forecast (updated)'!M65*-1</f>
        <v>-336</v>
      </c>
      <c r="N16" s="16">
        <f>'FA-Forecast (updated)'!N65*-1</f>
        <v>-351.60047999999995</v>
      </c>
      <c r="O16" s="16">
        <f>'FA-Forecast (updated)'!O65*-1</f>
        <v>-439.44692399999997</v>
      </c>
      <c r="P16" s="16">
        <f>'FA-Forecast (updated)'!P65*-1</f>
        <v>-508.41345945599988</v>
      </c>
      <c r="Q16" s="16">
        <f>'FA-Forecast (updated)'!Q65*-1</f>
        <v>-610.82493640559983</v>
      </c>
    </row>
    <row r="17" spans="2:18" x14ac:dyDescent="0.2">
      <c r="B17" s="13" t="s">
        <v>598</v>
      </c>
      <c r="M17" s="43">
        <f ca="1">SUM(M13:M16)</f>
        <v>223.93746703773058</v>
      </c>
      <c r="N17" s="19">
        <f t="shared" ref="N17:P17" ca="1" si="2">SUM(N13:N16)</f>
        <v>326.05586620440158</v>
      </c>
      <c r="O17" s="19">
        <f t="shared" ca="1" si="2"/>
        <v>493.98981349776045</v>
      </c>
      <c r="P17" s="19">
        <f t="shared" ca="1" si="2"/>
        <v>486.1565811108797</v>
      </c>
      <c r="Q17" s="100">
        <f ca="1">SUM(Q13:Q16)</f>
        <v>581.18866939249097</v>
      </c>
      <c r="R17" s="388"/>
    </row>
    <row r="19" spans="2:18" x14ac:dyDescent="0.2">
      <c r="L19" t="s">
        <v>842</v>
      </c>
      <c r="M19" s="16">
        <f ca="1">M17</f>
        <v>223.93746703773058</v>
      </c>
      <c r="N19" s="16">
        <f ca="1">N17-M17</f>
        <v>102.118399166671</v>
      </c>
      <c r="O19" s="16">
        <f ca="1">O17-N17</f>
        <v>167.93394729335887</v>
      </c>
      <c r="P19" s="16">
        <f ca="1">P17-O17</f>
        <v>-7.8332323868807521</v>
      </c>
      <c r="Q19" s="16">
        <f ca="1">Q17-P17</f>
        <v>95.032088281611266</v>
      </c>
      <c r="R19" s="16">
        <f ca="1">SUM(M19:Q19)</f>
        <v>581.18866939249097</v>
      </c>
    </row>
    <row r="21" spans="2:18" x14ac:dyDescent="0.2">
      <c r="B21" s="13" t="s">
        <v>599</v>
      </c>
      <c r="E21" s="312">
        <f ca="1">(E22/(E23+E22))*E30+(E23/(E23+E22))*(1-E27)*E28</f>
        <v>6.167329855104578E-2</v>
      </c>
    </row>
    <row r="22" spans="2:18" x14ac:dyDescent="0.2">
      <c r="B22" t="s">
        <v>600</v>
      </c>
      <c r="D22" t="s">
        <v>608</v>
      </c>
      <c r="E22" s="16">
        <v>10560</v>
      </c>
      <c r="F22" t="s">
        <v>678</v>
      </c>
    </row>
    <row r="23" spans="2:18" x14ac:dyDescent="0.2">
      <c r="B23" t="s">
        <v>280</v>
      </c>
      <c r="D23" t="s">
        <v>607</v>
      </c>
      <c r="E23" s="16">
        <f ca="1">'BS Neu'!I46+'BS Neu'!I54</f>
        <v>3812</v>
      </c>
      <c r="F23" t="s">
        <v>623</v>
      </c>
    </row>
    <row r="24" spans="2:18" x14ac:dyDescent="0.2">
      <c r="B24" t="s">
        <v>601</v>
      </c>
      <c r="D24" t="s">
        <v>604</v>
      </c>
      <c r="E24" s="147">
        <v>2.6280000000000001E-2</v>
      </c>
    </row>
    <row r="25" spans="2:18" x14ac:dyDescent="0.2">
      <c r="B25" t="s">
        <v>603</v>
      </c>
      <c r="D25" t="s">
        <v>605</v>
      </c>
      <c r="E25" s="285">
        <v>7.0300000000000001E-2</v>
      </c>
    </row>
    <row r="26" spans="2:18" x14ac:dyDescent="0.2">
      <c r="B26" t="s">
        <v>602</v>
      </c>
      <c r="D26" t="s">
        <v>606</v>
      </c>
      <c r="E26">
        <v>1.07</v>
      </c>
      <c r="O26" s="205"/>
    </row>
    <row r="27" spans="2:18" x14ac:dyDescent="0.2">
      <c r="B27" t="s">
        <v>609</v>
      </c>
      <c r="D27" t="s">
        <v>610</v>
      </c>
      <c r="E27" s="285">
        <f>E12</f>
        <v>0.28299999999999997</v>
      </c>
      <c r="I27" s="300" t="s">
        <v>625</v>
      </c>
      <c r="J27" s="84"/>
      <c r="K27" s="167">
        <f>'BS Neu'!I26</f>
        <v>733</v>
      </c>
    </row>
    <row r="28" spans="2:18" x14ac:dyDescent="0.2">
      <c r="B28" t="s">
        <v>611</v>
      </c>
      <c r="D28" t="s">
        <v>612</v>
      </c>
      <c r="E28" s="311">
        <f ca="1">('Debt &amp; Cash'!K28+'Debt &amp; Cash'!K42)/(('Debt &amp; Cash'!K17+'Debt &amp; Cash'!K12)/2)</f>
        <v>4.078036720845931E-2</v>
      </c>
      <c r="I28" s="270" t="s">
        <v>626</v>
      </c>
      <c r="J28" s="22"/>
      <c r="K28" s="306">
        <f ca="1">'BS Neu'!I56</f>
        <v>3812</v>
      </c>
    </row>
    <row r="29" spans="2:18" x14ac:dyDescent="0.2">
      <c r="B29" s="283" t="s">
        <v>613</v>
      </c>
      <c r="D29" t="s">
        <v>620</v>
      </c>
    </row>
    <row r="30" spans="2:18" x14ac:dyDescent="0.2">
      <c r="B30" t="s">
        <v>618</v>
      </c>
      <c r="D30" t="s">
        <v>619</v>
      </c>
      <c r="E30" s="285">
        <f>E24+E26*(E25-E24)</f>
        <v>7.3381400000000013E-2</v>
      </c>
      <c r="I30" s="300" t="s">
        <v>641</v>
      </c>
      <c r="J30" s="84"/>
      <c r="K30" s="85">
        <f ca="1">CHOOSE(E9, K32,K33)*K31</f>
        <v>9415.2564441583527</v>
      </c>
    </row>
    <row r="31" spans="2:18" x14ac:dyDescent="0.2">
      <c r="I31" s="290" t="s">
        <v>162</v>
      </c>
      <c r="K31" s="304">
        <f ca="1">Q17</f>
        <v>581.18866939249097</v>
      </c>
    </row>
    <row r="32" spans="2:18" x14ac:dyDescent="0.2">
      <c r="I32" s="290" t="s">
        <v>639</v>
      </c>
      <c r="K32" s="208">
        <f>'Competitors KPI''s'!F18</f>
        <v>11.9</v>
      </c>
    </row>
    <row r="33" spans="2:12" x14ac:dyDescent="0.2">
      <c r="I33" s="270" t="s">
        <v>640</v>
      </c>
      <c r="J33" s="22"/>
      <c r="K33" s="209">
        <f>'Competitors KPI''s'!F17</f>
        <v>16.2</v>
      </c>
    </row>
    <row r="34" spans="2:12" x14ac:dyDescent="0.2">
      <c r="B34" s="300" t="s">
        <v>621</v>
      </c>
      <c r="C34" s="84"/>
      <c r="D34" s="84"/>
      <c r="E34" s="287">
        <f ca="1">(Q17*(1+E35))/(E21-E35)</f>
        <v>11359.842946866336</v>
      </c>
    </row>
    <row r="35" spans="2:12" x14ac:dyDescent="0.2">
      <c r="B35" s="170" t="s">
        <v>622</v>
      </c>
      <c r="E35" s="310">
        <v>0.01</v>
      </c>
      <c r="I35" s="300" t="s">
        <v>642</v>
      </c>
      <c r="J35" s="84"/>
      <c r="K35" s="85">
        <f ca="1">K30</f>
        <v>9415.2564441583527</v>
      </c>
    </row>
    <row r="36" spans="2:12" x14ac:dyDescent="0.2">
      <c r="B36" s="170" t="s">
        <v>624</v>
      </c>
      <c r="E36" s="303">
        <f ca="1">NPV(E21, M17,N17,O17,P17,Q17)</f>
        <v>1726.5545444028198</v>
      </c>
      <c r="I36" s="170" t="s">
        <v>643</v>
      </c>
      <c r="K36" s="208">
        <f ca="1">K35/((1+E21)^5)</f>
        <v>6980.357718431439</v>
      </c>
    </row>
    <row r="37" spans="2:12" x14ac:dyDescent="0.2">
      <c r="B37" s="86" t="s">
        <v>621</v>
      </c>
      <c r="C37" s="22"/>
      <c r="D37" s="22"/>
      <c r="E37" s="302">
        <f ca="1">E34/(1+E21)^5</f>
        <v>8422.0507284776104</v>
      </c>
      <c r="I37" s="86" t="s">
        <v>644</v>
      </c>
      <c r="J37" s="22"/>
      <c r="K37" s="302">
        <f ca="1">E36</f>
        <v>1726.5545444028198</v>
      </c>
    </row>
    <row r="38" spans="2:12" x14ac:dyDescent="0.2">
      <c r="B38" s="300" t="s">
        <v>646</v>
      </c>
      <c r="C38" s="84"/>
      <c r="D38" s="84"/>
      <c r="E38" s="301">
        <f ca="1">E37+E36</f>
        <v>10148.60527288043</v>
      </c>
      <c r="I38" s="300" t="s">
        <v>647</v>
      </c>
      <c r="J38" s="84"/>
      <c r="K38" s="301">
        <f ca="1">K36+K37</f>
        <v>8706.9122628342593</v>
      </c>
    </row>
    <row r="39" spans="2:12" x14ac:dyDescent="0.2">
      <c r="B39" s="170" t="s">
        <v>627</v>
      </c>
      <c r="E39" s="208">
        <f ca="1">(K28-K27)*-1</f>
        <v>-3079</v>
      </c>
      <c r="I39" s="170" t="s">
        <v>645</v>
      </c>
      <c r="K39" s="208">
        <f ca="1">E39</f>
        <v>-3079</v>
      </c>
    </row>
    <row r="40" spans="2:12" x14ac:dyDescent="0.2">
      <c r="B40" s="270" t="s">
        <v>628</v>
      </c>
      <c r="C40" s="22"/>
      <c r="D40" s="22"/>
      <c r="E40" s="288">
        <f ca="1">SUM(E38:E39)</f>
        <v>7069.6052728804298</v>
      </c>
      <c r="I40" s="270" t="s">
        <v>600</v>
      </c>
      <c r="J40" s="22"/>
      <c r="K40" s="288">
        <f ca="1">SUM(K38:K39)</f>
        <v>5627.9122628342593</v>
      </c>
    </row>
    <row r="42" spans="2:12" x14ac:dyDescent="0.2">
      <c r="B42" s="13" t="s">
        <v>629</v>
      </c>
      <c r="E42" s="289">
        <v>115.5</v>
      </c>
    </row>
    <row r="44" spans="2:12" x14ac:dyDescent="0.2">
      <c r="B44" s="13" t="s">
        <v>648</v>
      </c>
      <c r="E44" s="288">
        <f ca="1">E40/E42</f>
        <v>61.208703661302422</v>
      </c>
      <c r="F44" t="s">
        <v>630</v>
      </c>
      <c r="I44" t="s">
        <v>649</v>
      </c>
      <c r="K44" s="288">
        <f ca="1">K40/E42</f>
        <v>48.726513098132116</v>
      </c>
      <c r="L44" t="s">
        <v>630</v>
      </c>
    </row>
    <row r="47" spans="2:12" x14ac:dyDescent="0.2">
      <c r="B47" t="s">
        <v>840</v>
      </c>
      <c r="E47" s="205">
        <f ca="1">E38/Q17</f>
        <v>17.461808544011426</v>
      </c>
    </row>
    <row r="48" spans="2:12" x14ac:dyDescent="0.2">
      <c r="E48" s="387"/>
    </row>
    <row r="49" spans="5:10" x14ac:dyDescent="0.2">
      <c r="E49" s="387"/>
    </row>
    <row r="50" spans="5:10" x14ac:dyDescent="0.2">
      <c r="E50" s="387"/>
    </row>
    <row r="55" spans="5:10" x14ac:dyDescent="0.2">
      <c r="E55" s="205"/>
      <c r="F55" s="147"/>
      <c r="G55" s="147"/>
      <c r="H55" s="147"/>
      <c r="I55" s="147"/>
      <c r="J55" s="147"/>
    </row>
    <row r="56" spans="5:10" x14ac:dyDescent="0.2">
      <c r="E56" s="147"/>
    </row>
    <row r="57" spans="5:10" x14ac:dyDescent="0.2">
      <c r="E57" s="147"/>
    </row>
    <row r="58" spans="5:10" x14ac:dyDescent="0.2">
      <c r="E58" s="147"/>
    </row>
    <row r="59" spans="5:10" x14ac:dyDescent="0.2">
      <c r="E59" s="147"/>
    </row>
    <row r="60" spans="5:10" x14ac:dyDescent="0.2">
      <c r="E60" s="147"/>
    </row>
    <row r="61" spans="5:10" x14ac:dyDescent="0.2">
      <c r="E61" s="147"/>
    </row>
    <row r="62" spans="5:10" x14ac:dyDescent="0.2">
      <c r="E62" s="147"/>
    </row>
    <row r="63" spans="5:10" x14ac:dyDescent="0.2">
      <c r="E63" s="147"/>
    </row>
    <row r="64" spans="5:10" x14ac:dyDescent="0.2">
      <c r="E64" s="147"/>
    </row>
    <row r="65" spans="5:5" x14ac:dyDescent="0.2">
      <c r="E65" s="147"/>
    </row>
  </sheetData>
  <dataValidations count="1">
    <dataValidation type="list" allowBlank="1" showInputMessage="1" showErrorMessage="1" sqref="E9" xr:uid="{28201266-D6A5-7C4D-A901-93B34BE03548}">
      <formula1>"1, 2"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DDEE-EDA2-6D42-B673-433628748A14}">
  <dimension ref="A1:K68"/>
  <sheetViews>
    <sheetView showGridLines="0" zoomScale="75" workbookViewId="0">
      <selection activeCell="F62" sqref="F62"/>
    </sheetView>
  </sheetViews>
  <sheetFormatPr baseColWidth="10" defaultRowHeight="16" x14ac:dyDescent="0.2"/>
  <cols>
    <col min="2" max="2" width="30" bestFit="1" customWidth="1"/>
    <col min="3" max="3" width="19.1640625" customWidth="1"/>
    <col min="4" max="4" width="17.83203125" bestFit="1" customWidth="1"/>
    <col min="5" max="5" width="18.83203125" bestFit="1" customWidth="1"/>
    <col min="6" max="6" width="41.33203125" bestFit="1" customWidth="1"/>
    <col min="7" max="7" width="37.83203125" bestFit="1" customWidth="1"/>
    <col min="8" max="8" width="41" bestFit="1" customWidth="1"/>
    <col min="9" max="9" width="6.33203125" bestFit="1" customWidth="1"/>
  </cols>
  <sheetData>
    <row r="1" spans="1:10" ht="25" thickBot="1" x14ac:dyDescent="0.35">
      <c r="A1" s="10" t="str">
        <f>_xlfn.CONCAT(Inputs!C7, " - ", "Competitors", " - ", "in ", Inputs!C9, " ", Inputs!C10)</f>
        <v>HAG - Competitors - in Euro millions</v>
      </c>
      <c r="B1" s="1"/>
      <c r="C1" s="6"/>
      <c r="D1" s="6"/>
      <c r="E1" s="6"/>
      <c r="F1" s="6"/>
      <c r="G1" s="6"/>
      <c r="H1" s="6"/>
    </row>
    <row r="2" spans="1:10" ht="17" thickTop="1" x14ac:dyDescent="0.2"/>
    <row r="4" spans="1:10" x14ac:dyDescent="0.2">
      <c r="D4" t="s">
        <v>153</v>
      </c>
      <c r="F4" t="s">
        <v>154</v>
      </c>
      <c r="H4" t="s">
        <v>155</v>
      </c>
    </row>
    <row r="5" spans="1:10" ht="25" thickBot="1" x14ac:dyDescent="0.35">
      <c r="B5" s="17" t="s">
        <v>141</v>
      </c>
      <c r="C5" s="17"/>
      <c r="D5" s="61">
        <v>2025</v>
      </c>
      <c r="E5" s="61" t="s">
        <v>156</v>
      </c>
      <c r="F5" s="61">
        <v>2025</v>
      </c>
      <c r="G5" s="61" t="s">
        <v>156</v>
      </c>
      <c r="H5" s="61">
        <v>2025</v>
      </c>
      <c r="I5" s="61" t="s">
        <v>156</v>
      </c>
      <c r="J5" s="170"/>
    </row>
    <row r="6" spans="1:10" x14ac:dyDescent="0.2">
      <c r="B6" t="s">
        <v>142</v>
      </c>
      <c r="D6" s="32">
        <v>1.5</v>
      </c>
      <c r="E6" s="170">
        <v>1.4</v>
      </c>
      <c r="F6" s="32">
        <v>11.6</v>
      </c>
      <c r="G6" s="32">
        <v>10.7</v>
      </c>
      <c r="H6" s="32">
        <v>17.600000000000001</v>
      </c>
      <c r="I6" s="32">
        <v>16</v>
      </c>
      <c r="J6" s="170"/>
    </row>
    <row r="7" spans="1:10" x14ac:dyDescent="0.2">
      <c r="B7" t="s">
        <v>143</v>
      </c>
      <c r="D7" s="32">
        <v>1.9</v>
      </c>
      <c r="E7" s="170">
        <v>1.7</v>
      </c>
      <c r="F7" s="32">
        <v>11.2</v>
      </c>
      <c r="G7" s="32">
        <v>9.8000000000000007</v>
      </c>
      <c r="H7" s="32">
        <v>17.7</v>
      </c>
      <c r="I7" s="32">
        <v>15.3</v>
      </c>
      <c r="J7" s="170"/>
    </row>
    <row r="8" spans="1:10" x14ac:dyDescent="0.2">
      <c r="B8" t="s">
        <v>144</v>
      </c>
      <c r="D8" s="32">
        <v>1.9</v>
      </c>
      <c r="E8" s="170">
        <v>1.7</v>
      </c>
      <c r="F8" s="32">
        <v>17.600000000000001</v>
      </c>
      <c r="G8" s="32">
        <v>15.1</v>
      </c>
      <c r="H8" s="32">
        <v>30.8</v>
      </c>
      <c r="I8" s="32">
        <v>25.1</v>
      </c>
      <c r="J8" s="170"/>
    </row>
    <row r="9" spans="1:10" x14ac:dyDescent="0.2">
      <c r="B9" t="s">
        <v>145</v>
      </c>
      <c r="D9" s="32">
        <v>1.5</v>
      </c>
      <c r="E9" s="170">
        <v>1.4</v>
      </c>
      <c r="F9" s="32">
        <v>12.1</v>
      </c>
      <c r="G9" s="32">
        <v>11.1</v>
      </c>
      <c r="H9" s="32">
        <v>16.2</v>
      </c>
      <c r="I9" s="32">
        <v>14.1</v>
      </c>
      <c r="J9" s="170"/>
    </row>
    <row r="10" spans="1:10" x14ac:dyDescent="0.2">
      <c r="B10" t="s">
        <v>146</v>
      </c>
      <c r="D10" s="32">
        <v>0.6</v>
      </c>
      <c r="E10" s="170">
        <v>0.5</v>
      </c>
      <c r="F10" s="32">
        <v>5.0999999999999996</v>
      </c>
      <c r="G10" s="32">
        <v>4.3</v>
      </c>
      <c r="H10" s="32">
        <v>10.1</v>
      </c>
      <c r="I10" s="32">
        <v>9.1999999999999993</v>
      </c>
      <c r="J10" s="170"/>
    </row>
    <row r="11" spans="1:10" x14ac:dyDescent="0.2">
      <c r="B11" t="s">
        <v>147</v>
      </c>
      <c r="D11" s="32">
        <v>3.7</v>
      </c>
      <c r="E11" s="170">
        <v>3.1</v>
      </c>
      <c r="F11" s="32">
        <v>22</v>
      </c>
      <c r="G11" s="32">
        <v>18.399999999999999</v>
      </c>
      <c r="H11" s="32">
        <v>34.1</v>
      </c>
      <c r="I11" s="32">
        <v>28.2</v>
      </c>
      <c r="J11" s="170"/>
    </row>
    <row r="12" spans="1:10" x14ac:dyDescent="0.2">
      <c r="B12" t="s">
        <v>148</v>
      </c>
      <c r="D12" s="32">
        <v>1.2</v>
      </c>
      <c r="E12" s="170">
        <v>1.1000000000000001</v>
      </c>
      <c r="F12" s="32">
        <v>10.1</v>
      </c>
      <c r="G12" s="32">
        <v>8.9</v>
      </c>
      <c r="H12" s="32">
        <v>20</v>
      </c>
      <c r="I12" s="32">
        <v>16.8</v>
      </c>
      <c r="J12" s="170"/>
    </row>
    <row r="13" spans="1:10" x14ac:dyDescent="0.2">
      <c r="B13" t="s">
        <v>149</v>
      </c>
      <c r="D13" s="32">
        <v>1.6</v>
      </c>
      <c r="E13" s="170">
        <v>1.6</v>
      </c>
      <c r="F13" s="32">
        <v>11.5</v>
      </c>
      <c r="G13" s="32">
        <v>11.1</v>
      </c>
      <c r="H13" s="32">
        <v>15.5</v>
      </c>
      <c r="I13" s="32">
        <v>14.2</v>
      </c>
      <c r="J13" s="170"/>
    </row>
    <row r="14" spans="1:10" x14ac:dyDescent="0.2">
      <c r="B14" t="s">
        <v>150</v>
      </c>
      <c r="D14" s="32">
        <v>2.2999999999999998</v>
      </c>
      <c r="E14" s="170">
        <v>2.1</v>
      </c>
      <c r="F14" s="32">
        <v>13.2</v>
      </c>
      <c r="G14" s="32">
        <v>11.9</v>
      </c>
      <c r="H14" s="32">
        <v>21.4</v>
      </c>
      <c r="I14" s="32">
        <v>19.2</v>
      </c>
      <c r="J14" s="170"/>
    </row>
    <row r="15" spans="1:10" x14ac:dyDescent="0.2">
      <c r="B15" t="s">
        <v>151</v>
      </c>
      <c r="D15" s="32">
        <v>3.4</v>
      </c>
      <c r="E15" s="170">
        <v>2.6</v>
      </c>
      <c r="F15" s="32">
        <v>17.399999999999999</v>
      </c>
      <c r="G15" s="32">
        <v>12.8</v>
      </c>
      <c r="H15" s="32">
        <v>31</v>
      </c>
      <c r="I15" s="32">
        <v>22.2</v>
      </c>
      <c r="J15" s="170"/>
    </row>
    <row r="16" spans="1:10" x14ac:dyDescent="0.2">
      <c r="B16" t="s">
        <v>152</v>
      </c>
      <c r="D16" s="32">
        <v>1.9</v>
      </c>
      <c r="E16" s="170">
        <v>1.7</v>
      </c>
      <c r="F16" s="32">
        <v>11.7</v>
      </c>
      <c r="G16" s="32">
        <v>10.6</v>
      </c>
      <c r="H16" s="32">
        <v>19.100000000000001</v>
      </c>
      <c r="I16" s="32">
        <v>17</v>
      </c>
      <c r="J16" s="170"/>
    </row>
    <row r="17" spans="1:11" x14ac:dyDescent="0.2">
      <c r="B17" s="13" t="s">
        <v>637</v>
      </c>
      <c r="D17" s="290">
        <v>2.5</v>
      </c>
      <c r="E17" s="291">
        <v>2.2000000000000002</v>
      </c>
      <c r="F17" s="290">
        <v>16.2</v>
      </c>
      <c r="G17" s="290">
        <v>14</v>
      </c>
      <c r="H17" s="290">
        <v>25.1</v>
      </c>
      <c r="I17" s="290">
        <v>21.1</v>
      </c>
      <c r="J17" s="170"/>
    </row>
    <row r="18" spans="1:11" x14ac:dyDescent="0.2">
      <c r="A18" t="s">
        <v>140</v>
      </c>
      <c r="B18" s="14" t="s">
        <v>638</v>
      </c>
      <c r="C18" s="15"/>
      <c r="D18" s="39">
        <v>1.9</v>
      </c>
      <c r="E18" s="290">
        <v>1.7</v>
      </c>
      <c r="F18" s="39">
        <v>11.9</v>
      </c>
      <c r="G18" s="39">
        <v>10.9</v>
      </c>
      <c r="H18" s="39">
        <v>19.5</v>
      </c>
      <c r="I18" s="39">
        <v>16.899999999999999</v>
      </c>
      <c r="J18" s="170"/>
    </row>
    <row r="19" spans="1:11" x14ac:dyDescent="0.2">
      <c r="E19" s="84"/>
    </row>
    <row r="22" spans="1:11" x14ac:dyDescent="0.2">
      <c r="B22" s="389" t="s">
        <v>774</v>
      </c>
      <c r="C22" s="389" t="s">
        <v>775</v>
      </c>
      <c r="D22" s="389" t="s">
        <v>776</v>
      </c>
      <c r="E22" s="389" t="s">
        <v>777</v>
      </c>
      <c r="F22" s="389" t="s">
        <v>778</v>
      </c>
      <c r="G22" s="389" t="s">
        <v>779</v>
      </c>
      <c r="H22" s="389" t="s">
        <v>821</v>
      </c>
      <c r="I22" s="389"/>
      <c r="J22" s="389"/>
      <c r="K22" s="389"/>
    </row>
    <row r="23" spans="1:11" x14ac:dyDescent="0.2">
      <c r="B23" s="389" t="s">
        <v>780</v>
      </c>
      <c r="C23" s="389" t="s">
        <v>781</v>
      </c>
      <c r="D23" s="389" t="s">
        <v>782</v>
      </c>
      <c r="E23" s="389" t="s">
        <v>783</v>
      </c>
      <c r="F23" s="389" t="s">
        <v>784</v>
      </c>
      <c r="G23" s="389" t="s">
        <v>785</v>
      </c>
      <c r="H23" s="389" t="s">
        <v>822</v>
      </c>
      <c r="I23" s="389"/>
      <c r="J23" s="389"/>
      <c r="K23" s="389"/>
    </row>
    <row r="24" spans="1:11" x14ac:dyDescent="0.2">
      <c r="B24" s="389" t="s">
        <v>786</v>
      </c>
      <c r="C24" s="389" t="s">
        <v>787</v>
      </c>
      <c r="D24" s="389" t="s">
        <v>788</v>
      </c>
      <c r="E24" s="389" t="s">
        <v>789</v>
      </c>
      <c r="F24" s="389" t="s">
        <v>790</v>
      </c>
      <c r="G24" s="389" t="s">
        <v>791</v>
      </c>
      <c r="H24" s="389" t="s">
        <v>823</v>
      </c>
      <c r="I24" s="389"/>
      <c r="J24" s="389"/>
      <c r="K24" s="389"/>
    </row>
    <row r="25" spans="1:11" x14ac:dyDescent="0.2">
      <c r="B25" s="389" t="s">
        <v>792</v>
      </c>
      <c r="C25" s="389" t="s">
        <v>793</v>
      </c>
      <c r="D25" s="389" t="s">
        <v>794</v>
      </c>
      <c r="E25" s="389" t="s">
        <v>795</v>
      </c>
      <c r="F25" s="389" t="s">
        <v>796</v>
      </c>
      <c r="G25" s="389" t="s">
        <v>797</v>
      </c>
      <c r="H25" s="389"/>
      <c r="I25" s="389"/>
      <c r="J25" s="389"/>
      <c r="K25" s="389"/>
    </row>
    <row r="26" spans="1:11" x14ac:dyDescent="0.2">
      <c r="B26" s="389" t="s">
        <v>798</v>
      </c>
      <c r="C26" s="389" t="s">
        <v>799</v>
      </c>
      <c r="D26" s="389" t="s">
        <v>800</v>
      </c>
      <c r="E26" s="389" t="s">
        <v>801</v>
      </c>
      <c r="F26" s="389" t="s">
        <v>802</v>
      </c>
      <c r="G26" s="389" t="s">
        <v>803</v>
      </c>
      <c r="H26" s="389"/>
      <c r="I26" s="389"/>
      <c r="J26" s="389"/>
      <c r="K26" s="389"/>
    </row>
    <row r="27" spans="1:11" x14ac:dyDescent="0.2">
      <c r="B27" s="389" t="s">
        <v>804</v>
      </c>
      <c r="C27" s="389" t="s">
        <v>805</v>
      </c>
      <c r="D27" s="389" t="s">
        <v>806</v>
      </c>
      <c r="E27" s="389" t="s">
        <v>807</v>
      </c>
      <c r="F27" s="389" t="s">
        <v>808</v>
      </c>
      <c r="G27" s="389" t="s">
        <v>809</v>
      </c>
      <c r="H27" s="389"/>
      <c r="I27" s="389"/>
      <c r="J27" s="389"/>
      <c r="K27" s="389"/>
    </row>
    <row r="28" spans="1:11" x14ac:dyDescent="0.2">
      <c r="B28" s="389" t="s">
        <v>810</v>
      </c>
      <c r="C28" s="389" t="s">
        <v>811</v>
      </c>
      <c r="D28" s="389" t="s">
        <v>812</v>
      </c>
      <c r="E28" s="389" t="s">
        <v>813</v>
      </c>
      <c r="F28" s="389" t="s">
        <v>814</v>
      </c>
      <c r="G28" s="389" t="s">
        <v>815</v>
      </c>
      <c r="H28" s="389"/>
      <c r="I28" s="389"/>
      <c r="J28" s="389"/>
    </row>
    <row r="30" spans="1:11" x14ac:dyDescent="0.2">
      <c r="C30" s="389" t="s">
        <v>157</v>
      </c>
      <c r="D30" s="389" t="s">
        <v>820</v>
      </c>
      <c r="E30" s="389" t="s">
        <v>777</v>
      </c>
      <c r="F30" s="389" t="s">
        <v>824</v>
      </c>
      <c r="G30" s="389" t="s">
        <v>779</v>
      </c>
      <c r="H30" s="389"/>
    </row>
    <row r="31" spans="1:11" x14ac:dyDescent="0.2">
      <c r="B31" s="389" t="s">
        <v>816</v>
      </c>
      <c r="C31" s="203">
        <f t="shared" ref="C31:C36" si="0">D31/E31</f>
        <v>20.569105691056912</v>
      </c>
      <c r="D31">
        <v>50.6</v>
      </c>
      <c r="E31" s="390">
        <v>2.46</v>
      </c>
      <c r="F31" s="147">
        <v>0.11799999999999999</v>
      </c>
      <c r="G31" s="295">
        <v>6.2E-2</v>
      </c>
    </row>
    <row r="32" spans="1:11" x14ac:dyDescent="0.2">
      <c r="B32" s="389" t="s">
        <v>817</v>
      </c>
      <c r="C32" s="203">
        <f t="shared" si="0"/>
        <v>5.9372126625509001</v>
      </c>
      <c r="D32">
        <f>22.6/1.15</f>
        <v>19.65217391304348</v>
      </c>
      <c r="E32" s="390">
        <v>3.31</v>
      </c>
      <c r="F32" s="147">
        <v>8.1000000000000003E-2</v>
      </c>
      <c r="G32" s="295">
        <v>6.8000000000000005E-2</v>
      </c>
    </row>
    <row r="33" spans="2:9" x14ac:dyDescent="0.2">
      <c r="B33" s="389" t="s">
        <v>792</v>
      </c>
      <c r="C33" s="203">
        <f t="shared" si="0"/>
        <v>18.478260869565219</v>
      </c>
      <c r="D33">
        <f>34/1.15</f>
        <v>29.565217391304351</v>
      </c>
      <c r="E33" s="390">
        <v>1.6</v>
      </c>
      <c r="F33" s="147">
        <v>0.154</v>
      </c>
      <c r="G33" s="295">
        <v>0.02</v>
      </c>
    </row>
    <row r="34" spans="2:9" x14ac:dyDescent="0.2">
      <c r="B34" s="389" t="s">
        <v>819</v>
      </c>
      <c r="C34" s="203">
        <f t="shared" si="0"/>
        <v>5.2479338842975203</v>
      </c>
      <c r="D34">
        <f>12.7/0.88</f>
        <v>14.431818181818182</v>
      </c>
      <c r="E34" s="390">
        <v>2.75</v>
      </c>
      <c r="F34" s="147">
        <v>0.107</v>
      </c>
      <c r="G34" s="391">
        <f>357/5200</f>
        <v>6.8653846153846149E-2</v>
      </c>
    </row>
    <row r="35" spans="2:9" x14ac:dyDescent="0.2">
      <c r="B35" s="389" t="s">
        <v>148</v>
      </c>
      <c r="C35" s="203">
        <v>3.7</v>
      </c>
      <c r="D35">
        <v>18.7</v>
      </c>
      <c r="E35" s="390">
        <f>D35/C35</f>
        <v>5.0540540540540535</v>
      </c>
      <c r="F35" s="147">
        <v>8.5999999999999993E-2</v>
      </c>
      <c r="G35" s="295">
        <v>0.14000000000000001</v>
      </c>
    </row>
    <row r="36" spans="2:9" x14ac:dyDescent="0.2">
      <c r="B36" s="389" t="s">
        <v>810</v>
      </c>
      <c r="C36" s="203">
        <f t="shared" si="0"/>
        <v>5.8020477815699651</v>
      </c>
      <c r="D36">
        <f>187/11</f>
        <v>17</v>
      </c>
      <c r="E36" s="390">
        <v>2.93</v>
      </c>
      <c r="F36" s="147">
        <v>0.13100000000000001</v>
      </c>
      <c r="G36" s="391">
        <f>2809/63751</f>
        <v>4.4062053928565825E-2</v>
      </c>
    </row>
    <row r="37" spans="2:9" x14ac:dyDescent="0.2">
      <c r="B37" s="389" t="s">
        <v>818</v>
      </c>
      <c r="C37" s="203">
        <f>D37/E37</f>
        <v>2.2222222222222219</v>
      </c>
      <c r="D37">
        <v>6.6</v>
      </c>
      <c r="E37">
        <v>2.97</v>
      </c>
      <c r="F37" s="147">
        <v>0.19400000000000001</v>
      </c>
      <c r="G37" s="295">
        <v>1.4E-2</v>
      </c>
    </row>
    <row r="38" spans="2:9" x14ac:dyDescent="0.2">
      <c r="D38" s="203"/>
      <c r="E38" s="203"/>
      <c r="F38" s="68"/>
      <c r="G38" s="68"/>
    </row>
    <row r="39" spans="2:9" x14ac:dyDescent="0.2">
      <c r="B39" s="389" t="s">
        <v>827</v>
      </c>
      <c r="C39" s="203">
        <f>MIN(C31:C37)</f>
        <v>2.2222222222222219</v>
      </c>
      <c r="D39" s="203">
        <f t="shared" ref="D39:G39" si="1">MIN(D31:D37)</f>
        <v>6.6</v>
      </c>
      <c r="E39" s="203">
        <f t="shared" si="1"/>
        <v>1.6</v>
      </c>
      <c r="F39" s="68">
        <f t="shared" si="1"/>
        <v>8.1000000000000003E-2</v>
      </c>
      <c r="G39" s="68">
        <f t="shared" si="1"/>
        <v>1.4E-2</v>
      </c>
    </row>
    <row r="40" spans="2:9" x14ac:dyDescent="0.2">
      <c r="B40" s="389" t="s">
        <v>826</v>
      </c>
      <c r="C40" s="203">
        <f>MAX(C31:C37)</f>
        <v>20.569105691056912</v>
      </c>
      <c r="D40" s="203">
        <f t="shared" ref="D40:G40" si="2">MAX(D31:D37)</f>
        <v>50.6</v>
      </c>
      <c r="E40" s="203">
        <f t="shared" si="2"/>
        <v>5.0540540540540535</v>
      </c>
      <c r="F40" s="68">
        <f t="shared" si="2"/>
        <v>0.19400000000000001</v>
      </c>
      <c r="G40" s="68">
        <f t="shared" si="2"/>
        <v>0.14000000000000001</v>
      </c>
    </row>
    <row r="42" spans="2:9" x14ac:dyDescent="0.2">
      <c r="C42" s="389" t="s">
        <v>157</v>
      </c>
      <c r="D42" s="389" t="s">
        <v>820</v>
      </c>
      <c r="E42" s="389" t="s">
        <v>777</v>
      </c>
      <c r="F42" s="389" t="s">
        <v>824</v>
      </c>
      <c r="G42" s="389" t="s">
        <v>779</v>
      </c>
      <c r="H42" s="389" t="s">
        <v>828</v>
      </c>
      <c r="I42" s="389" t="s">
        <v>829</v>
      </c>
    </row>
    <row r="43" spans="2:9" x14ac:dyDescent="0.2">
      <c r="B43" s="389" t="s">
        <v>825</v>
      </c>
    </row>
    <row r="44" spans="2:9" x14ac:dyDescent="0.2">
      <c r="B44" s="389" t="s">
        <v>816</v>
      </c>
      <c r="C44">
        <f t="shared" ref="C44:C50" si="3">(C31-$C$39)/($C$40-$C$39)</f>
        <v>1</v>
      </c>
      <c r="D44">
        <f>(D31-$D$39)/($D$40-$D$39)</f>
        <v>1</v>
      </c>
      <c r="E44">
        <f>(E31-$E$39)/($E$40-$E$39)</f>
        <v>0.24898278560250392</v>
      </c>
      <c r="F44" s="205">
        <f>(F31-$F$39)/($F$40-$F$39)</f>
        <v>0.32743362831858397</v>
      </c>
      <c r="G44" s="205">
        <f>(G31-$G$39)/($G$40-$G$39)</f>
        <v>0.38095238095238093</v>
      </c>
      <c r="H44">
        <f>SUMPRODUCT(C44:G44)</f>
        <v>2.9573687948734686</v>
      </c>
      <c r="I44">
        <f>_xlfn.RANK.EQ(H44, $H$44:$H$50,0)</f>
        <v>1</v>
      </c>
    </row>
    <row r="45" spans="2:9" x14ac:dyDescent="0.2">
      <c r="B45" s="389" t="s">
        <v>817</v>
      </c>
      <c r="C45">
        <f t="shared" si="3"/>
        <v>0.20248618500462071</v>
      </c>
      <c r="D45">
        <f t="shared" ref="D45:D50" si="4">(D32-$D$39)/($D$40-$D$39)</f>
        <v>0.29664031620553366</v>
      </c>
      <c r="E45">
        <f t="shared" ref="E45:E50" si="5">(E32-$E$39)/($E$40-$E$39)</f>
        <v>0.49507042253521133</v>
      </c>
      <c r="F45" s="205">
        <f t="shared" ref="F45:F50" si="6">(F32-$F$39)/($F$40-$F$39)</f>
        <v>0</v>
      </c>
      <c r="G45" s="205">
        <f t="shared" ref="G45:G49" si="7">(G32-$G$39)/($G$40-$G$39)</f>
        <v>0.4285714285714286</v>
      </c>
      <c r="H45">
        <f t="shared" ref="H45:H50" si="8">SUMPRODUCT(C45:G45)</f>
        <v>1.4227683523167942</v>
      </c>
      <c r="I45">
        <f t="shared" ref="I45:I50" si="9">_xlfn.RANK.EQ(H45, $H$44:$H$50,0)</f>
        <v>5</v>
      </c>
    </row>
    <row r="46" spans="2:9" x14ac:dyDescent="0.2">
      <c r="B46" s="389" t="s">
        <v>792</v>
      </c>
      <c r="C46">
        <f t="shared" si="3"/>
        <v>0.88603814783893131</v>
      </c>
      <c r="D46">
        <f t="shared" si="4"/>
        <v>0.52193675889328073</v>
      </c>
      <c r="E46">
        <f t="shared" si="5"/>
        <v>0</v>
      </c>
      <c r="F46" s="205">
        <f t="shared" si="6"/>
        <v>0.64601769911504414</v>
      </c>
      <c r="G46" s="205">
        <f t="shared" si="7"/>
        <v>4.7619047619047616E-2</v>
      </c>
      <c r="H46">
        <f t="shared" si="8"/>
        <v>2.1016116534663034</v>
      </c>
      <c r="I46">
        <f t="shared" si="9"/>
        <v>3</v>
      </c>
    </row>
    <row r="47" spans="2:9" x14ac:dyDescent="0.2">
      <c r="B47" s="389" t="s">
        <v>819</v>
      </c>
      <c r="C47">
        <f t="shared" si="3"/>
        <v>0.16491692811016026</v>
      </c>
      <c r="D47">
        <f t="shared" si="4"/>
        <v>0.17799586776859505</v>
      </c>
      <c r="E47">
        <f t="shared" si="5"/>
        <v>0.3329420970266041</v>
      </c>
      <c r="F47" s="205">
        <f t="shared" si="6"/>
        <v>0.23008849557522118</v>
      </c>
      <c r="G47" s="205">
        <f t="shared" si="7"/>
        <v>0.43376068376068372</v>
      </c>
      <c r="H47">
        <f t="shared" si="8"/>
        <v>1.3397040722412643</v>
      </c>
      <c r="I47">
        <f t="shared" si="9"/>
        <v>7</v>
      </c>
    </row>
    <row r="48" spans="2:9" x14ac:dyDescent="0.2">
      <c r="B48" s="389" t="s">
        <v>148</v>
      </c>
      <c r="C48">
        <f t="shared" si="3"/>
        <v>8.054652880354507E-2</v>
      </c>
      <c r="D48">
        <f t="shared" si="4"/>
        <v>0.27499999999999997</v>
      </c>
      <c r="E48">
        <f t="shared" si="5"/>
        <v>1</v>
      </c>
      <c r="F48" s="205">
        <f t="shared" si="6"/>
        <v>4.4247787610619385E-2</v>
      </c>
      <c r="G48" s="205">
        <f t="shared" si="7"/>
        <v>1</v>
      </c>
      <c r="H48">
        <f t="shared" si="8"/>
        <v>2.3997943164141642</v>
      </c>
      <c r="I48">
        <f t="shared" si="9"/>
        <v>2</v>
      </c>
    </row>
    <row r="49" spans="2:9" x14ac:dyDescent="0.2">
      <c r="B49" s="389" t="s">
        <v>810</v>
      </c>
      <c r="C49">
        <f t="shared" si="3"/>
        <v>0.19511900020669382</v>
      </c>
      <c r="D49">
        <f t="shared" si="4"/>
        <v>0.23636363636363636</v>
      </c>
      <c r="E49">
        <f t="shared" si="5"/>
        <v>0.38505477308294217</v>
      </c>
      <c r="F49" s="205">
        <f t="shared" si="6"/>
        <v>0.44247787610619471</v>
      </c>
      <c r="G49" s="205">
        <f t="shared" si="7"/>
        <v>0.23858772959179228</v>
      </c>
      <c r="H49">
        <f t="shared" si="8"/>
        <v>1.4976030153512592</v>
      </c>
      <c r="I49">
        <f t="shared" si="9"/>
        <v>4</v>
      </c>
    </row>
    <row r="50" spans="2:9" x14ac:dyDescent="0.2">
      <c r="B50" s="389" t="s">
        <v>818</v>
      </c>
      <c r="C50">
        <f t="shared" si="3"/>
        <v>0</v>
      </c>
      <c r="D50">
        <f t="shared" si="4"/>
        <v>0</v>
      </c>
      <c r="E50">
        <f t="shared" si="5"/>
        <v>0.39663536776212843</v>
      </c>
      <c r="F50" s="205">
        <f t="shared" si="6"/>
        <v>1</v>
      </c>
      <c r="G50" s="205">
        <f>(G37-$G$39)/($G$40-$G$39)</f>
        <v>0</v>
      </c>
      <c r="H50">
        <f t="shared" si="8"/>
        <v>1.3966353677621284</v>
      </c>
      <c r="I50">
        <f t="shared" si="9"/>
        <v>6</v>
      </c>
    </row>
    <row r="56" spans="2:9" x14ac:dyDescent="0.2">
      <c r="C56" t="s">
        <v>830</v>
      </c>
    </row>
    <row r="57" spans="2:9" x14ac:dyDescent="0.2">
      <c r="B57" t="s">
        <v>831</v>
      </c>
      <c r="C57">
        <v>1910</v>
      </c>
    </row>
    <row r="58" spans="2:9" x14ac:dyDescent="0.2">
      <c r="B58" t="s">
        <v>832</v>
      </c>
      <c r="C58">
        <v>334</v>
      </c>
    </row>
    <row r="62" spans="2:9" x14ac:dyDescent="0.2">
      <c r="C62" t="s">
        <v>833</v>
      </c>
    </row>
    <row r="63" spans="2:9" x14ac:dyDescent="0.2">
      <c r="B63" t="s">
        <v>834</v>
      </c>
      <c r="C63">
        <v>1280</v>
      </c>
    </row>
    <row r="64" spans="2:9" x14ac:dyDescent="0.2">
      <c r="B64" t="s">
        <v>838</v>
      </c>
      <c r="C64">
        <v>684</v>
      </c>
    </row>
    <row r="65" spans="2:3" x14ac:dyDescent="0.2">
      <c r="B65" t="s">
        <v>835</v>
      </c>
      <c r="C65">
        <v>83</v>
      </c>
    </row>
    <row r="66" spans="2:3" x14ac:dyDescent="0.2">
      <c r="B66" t="s">
        <v>836</v>
      </c>
      <c r="C66">
        <v>78</v>
      </c>
    </row>
    <row r="67" spans="2:3" x14ac:dyDescent="0.2">
      <c r="B67" t="s">
        <v>839</v>
      </c>
      <c r="C67">
        <v>65</v>
      </c>
    </row>
    <row r="68" spans="2:3" x14ac:dyDescent="0.2">
      <c r="B68" t="s">
        <v>837</v>
      </c>
      <c r="C68">
        <v>48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B8F9-9E79-E542-8B90-070042BB82D8}">
  <dimension ref="A1:P49"/>
  <sheetViews>
    <sheetView showGridLines="0" topLeftCell="B3" zoomScale="106" zoomScaleNormal="130" workbookViewId="0">
      <selection activeCell="B27" sqref="B27"/>
    </sheetView>
  </sheetViews>
  <sheetFormatPr baseColWidth="10" defaultRowHeight="16" x14ac:dyDescent="0.2"/>
  <cols>
    <col min="2" max="2" width="63.1640625" bestFit="1" customWidth="1"/>
    <col min="3" max="3" width="9" customWidth="1"/>
    <col min="4" max="13" width="12.33203125" bestFit="1" customWidth="1"/>
    <col min="14" max="14" width="12.33203125" customWidth="1"/>
    <col min="15" max="16" width="12.33203125" bestFit="1" customWidth="1"/>
  </cols>
  <sheetData>
    <row r="1" spans="1:16" ht="25" thickBot="1" x14ac:dyDescent="0.35">
      <c r="A1" s="10" t="str">
        <f>_xlfn.CONCAT(Inputs!C7, " - ", "Income Statement", " - ", "in ", Inputs!C9, " ", Inputs!C10)</f>
        <v>HAG - Income Statement - in Euro millions</v>
      </c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7" thickTop="1" x14ac:dyDescent="0.2"/>
    <row r="4" spans="1:16" x14ac:dyDescent="0.2">
      <c r="B4" t="s">
        <v>9</v>
      </c>
      <c r="D4" s="9">
        <f>EDATE(Inputs!$C$8, D5*12)</f>
        <v>43830</v>
      </c>
      <c r="E4" s="9">
        <f>EDATE(Inputs!$C$8, E5*12)</f>
        <v>44196</v>
      </c>
      <c r="F4" s="9">
        <f>EDATE(Inputs!$C$8, F5*12)</f>
        <v>44561</v>
      </c>
      <c r="G4" s="9">
        <f>EDATE(Inputs!$C$8, G5*12)</f>
        <v>44926</v>
      </c>
      <c r="H4" s="9">
        <f>EDATE(Inputs!$C$8, H5*12)</f>
        <v>45291</v>
      </c>
      <c r="I4" s="9">
        <f>EDATE(Inputs!$C$8, I5*12)</f>
        <v>45657</v>
      </c>
      <c r="J4" s="9">
        <f>EDATE(Inputs!$C$8, J5*12)</f>
        <v>46022</v>
      </c>
      <c r="K4" s="9">
        <f>EDATE(Inputs!$C$8, K5*12)</f>
        <v>46387</v>
      </c>
      <c r="L4" s="9">
        <f>EDATE(Inputs!$C$8, L5*12)</f>
        <v>46752</v>
      </c>
      <c r="M4" s="9">
        <f>EDATE(Inputs!$C$8, M5*12)</f>
        <v>47118</v>
      </c>
      <c r="N4" s="9">
        <f>EDATE(Inputs!$C$8, N5*12)</f>
        <v>47483</v>
      </c>
    </row>
    <row r="5" spans="1:16" x14ac:dyDescent="0.2">
      <c r="B5" t="s">
        <v>10</v>
      </c>
      <c r="D5" s="8">
        <v>-5</v>
      </c>
      <c r="E5" s="8">
        <v>-4</v>
      </c>
      <c r="F5" s="8">
        <v>-3</v>
      </c>
      <c r="G5" s="8">
        <v>-2</v>
      </c>
      <c r="H5" s="8">
        <v>-1</v>
      </c>
      <c r="I5" s="8">
        <v>0</v>
      </c>
      <c r="J5" s="8">
        <v>1</v>
      </c>
      <c r="K5" s="8">
        <v>2</v>
      </c>
      <c r="L5" s="8">
        <v>3</v>
      </c>
      <c r="M5" s="8">
        <v>4</v>
      </c>
      <c r="N5" s="8">
        <v>5</v>
      </c>
    </row>
    <row r="6" spans="1:16" x14ac:dyDescent="0.2">
      <c r="B6" t="s">
        <v>11</v>
      </c>
      <c r="D6" s="8" t="str">
        <f>_xlfn.CONCAT(Inputs!$C$9, " ", Inputs!$C$10)</f>
        <v>Euro millions</v>
      </c>
      <c r="E6" s="8" t="str">
        <f>_xlfn.CONCAT(Inputs!$C$9, " ", Inputs!$C$10)</f>
        <v>Euro millions</v>
      </c>
      <c r="F6" s="8" t="str">
        <f>_xlfn.CONCAT(Inputs!$C$9, " ", Inputs!$C$10)</f>
        <v>Euro millions</v>
      </c>
      <c r="G6" s="8" t="str">
        <f>_xlfn.CONCAT(Inputs!$C$9, " ", Inputs!$C$10)</f>
        <v>Euro millions</v>
      </c>
      <c r="H6" s="8" t="str">
        <f>_xlfn.CONCAT(Inputs!$C$9, " ", Inputs!$C$10)</f>
        <v>Euro millions</v>
      </c>
      <c r="I6" s="8" t="str">
        <f>_xlfn.CONCAT(Inputs!$C$9, " ", Inputs!$C$10)</f>
        <v>Euro millions</v>
      </c>
      <c r="J6" s="8" t="str">
        <f>_xlfn.CONCAT(Inputs!$C$9, " ", Inputs!$C$10)</f>
        <v>Euro millions</v>
      </c>
      <c r="K6" s="8" t="str">
        <f>_xlfn.CONCAT(Inputs!$C$9, " ", Inputs!$C$10)</f>
        <v>Euro millions</v>
      </c>
      <c r="L6" s="8" t="str">
        <f>_xlfn.CONCAT(Inputs!$C$9, " ", Inputs!$C$10)</f>
        <v>Euro millions</v>
      </c>
      <c r="M6" s="8" t="str">
        <f>_xlfn.CONCAT(Inputs!$C$9, " ", Inputs!$C$10)</f>
        <v>Euro millions</v>
      </c>
      <c r="N6" s="8" t="str">
        <f>_xlfn.CONCAT(Inputs!$C$9, " ", Inputs!$C$10)</f>
        <v>Euro millions</v>
      </c>
    </row>
    <row r="7" spans="1:16" x14ac:dyDescent="0.2">
      <c r="B7" t="s">
        <v>12</v>
      </c>
      <c r="D7" s="8" t="str">
        <f>IF(D5&lt;=0, "Historical", "Forecasted")</f>
        <v>Historical</v>
      </c>
      <c r="E7" s="8" t="str">
        <f>IF(E5&lt;=0, "Historical", "Forecasted")</f>
        <v>Historical</v>
      </c>
      <c r="F7" s="8" t="str">
        <f t="shared" ref="F7:N7" si="0">IF(F5&lt;=0, "Historical", "Forecasted")</f>
        <v>Historical</v>
      </c>
      <c r="G7" s="8" t="str">
        <f t="shared" si="0"/>
        <v>Historical</v>
      </c>
      <c r="H7" s="8" t="str">
        <f t="shared" si="0"/>
        <v>Historical</v>
      </c>
      <c r="I7" s="8" t="str">
        <f t="shared" si="0"/>
        <v>Historical</v>
      </c>
      <c r="J7" s="8" t="str">
        <f t="shared" si="0"/>
        <v>Forecasted</v>
      </c>
      <c r="K7" s="8" t="str">
        <f t="shared" si="0"/>
        <v>Forecasted</v>
      </c>
      <c r="L7" s="8" t="str">
        <f t="shared" si="0"/>
        <v>Forecasted</v>
      </c>
      <c r="M7" s="8" t="str">
        <f t="shared" si="0"/>
        <v>Forecasted</v>
      </c>
      <c r="N7" s="8" t="str">
        <f t="shared" si="0"/>
        <v>Forecasted</v>
      </c>
    </row>
    <row r="9" spans="1:16" ht="25" thickBot="1" x14ac:dyDescent="0.35">
      <c r="B9" s="17" t="s">
        <v>88</v>
      </c>
    </row>
    <row r="10" spans="1:16" x14ac:dyDescent="0.2">
      <c r="B10" t="s">
        <v>157</v>
      </c>
      <c r="D10" s="66">
        <f t="shared" ref="D10:I11" si="1">D28</f>
        <v>1114.2</v>
      </c>
      <c r="E10" s="66">
        <f t="shared" si="1"/>
        <v>1206.9000000000001</v>
      </c>
      <c r="F10" s="66">
        <f t="shared" si="1"/>
        <v>1474</v>
      </c>
      <c r="G10" s="66">
        <f t="shared" si="1"/>
        <v>1707</v>
      </c>
      <c r="H10" s="66">
        <f t="shared" si="1"/>
        <v>1847</v>
      </c>
      <c r="I10" s="66">
        <f t="shared" si="1"/>
        <v>2240</v>
      </c>
      <c r="J10" s="16">
        <f>'Revenue &amp; Expenses (updated)'!M22</f>
        <v>2800</v>
      </c>
      <c r="K10" s="16">
        <f>'Revenue &amp; Expenses (updated)'!N22</f>
        <v>2930.0039999999995</v>
      </c>
      <c r="L10" s="16">
        <f>'Revenue &amp; Expenses (updated)'!O22</f>
        <v>3662.0576999999998</v>
      </c>
      <c r="M10" s="16">
        <f>'Revenue &amp; Expenses (updated)'!P22</f>
        <v>4236.7788287999992</v>
      </c>
      <c r="N10" s="16">
        <f>'Revenue &amp; Expenses (updated)'!Q22</f>
        <v>5090.2078033799989</v>
      </c>
      <c r="P10" s="13" t="s">
        <v>307</v>
      </c>
    </row>
    <row r="11" spans="1:16" x14ac:dyDescent="0.2">
      <c r="B11" t="s">
        <v>158</v>
      </c>
      <c r="D11" s="59">
        <f t="shared" si="1"/>
        <v>-859.3</v>
      </c>
      <c r="E11" s="59">
        <f t="shared" si="1"/>
        <v>-936.1</v>
      </c>
      <c r="F11" s="59">
        <f t="shared" si="1"/>
        <v>-1144</v>
      </c>
      <c r="G11" s="59">
        <f t="shared" si="1"/>
        <v>-1314</v>
      </c>
      <c r="H11" s="59">
        <f t="shared" si="1"/>
        <v>-1427</v>
      </c>
      <c r="I11" s="59">
        <f t="shared" si="1"/>
        <v>-1732</v>
      </c>
      <c r="J11" s="16">
        <f>'Revenue &amp; Expenses (updated)'!M45*-1</f>
        <v>-1959.9999999999998</v>
      </c>
      <c r="K11" s="16">
        <f>'Revenue &amp; Expenses (updated)'!N45*-1</f>
        <v>-2021.7027599999994</v>
      </c>
      <c r="L11" s="16">
        <f>'Revenue &amp; Expenses (updated)'!O45*-1</f>
        <v>-2490.1992359999999</v>
      </c>
      <c r="M11" s="16">
        <f>'Revenue &amp; Expenses (updated)'!P45*-1</f>
        <v>-2881.0096035839997</v>
      </c>
      <c r="N11" s="16">
        <f>'Revenue &amp; Expenses (updated)'!Q45*-1</f>
        <v>-3461.3413062983996</v>
      </c>
    </row>
    <row r="12" spans="1:16" x14ac:dyDescent="0.2">
      <c r="B12" s="21" t="s">
        <v>159</v>
      </c>
      <c r="C12" s="22"/>
      <c r="D12" s="65">
        <f t="shared" ref="D12:I12" si="2">SUM(D10:D11)</f>
        <v>254.90000000000009</v>
      </c>
      <c r="E12" s="65">
        <f t="shared" si="2"/>
        <v>270.80000000000007</v>
      </c>
      <c r="F12" s="65">
        <f t="shared" si="2"/>
        <v>330</v>
      </c>
      <c r="G12" s="65">
        <f t="shared" si="2"/>
        <v>393</v>
      </c>
      <c r="H12" s="65">
        <f t="shared" si="2"/>
        <v>420</v>
      </c>
      <c r="I12" s="65">
        <f t="shared" si="2"/>
        <v>508</v>
      </c>
      <c r="J12" s="20">
        <f>SUM(J10:J11)</f>
        <v>840.00000000000023</v>
      </c>
      <c r="K12" s="20">
        <f t="shared" ref="K12:N12" si="3">SUM(K10:K11)</f>
        <v>908.30124000000001</v>
      </c>
      <c r="L12" s="20">
        <f t="shared" si="3"/>
        <v>1171.8584639999999</v>
      </c>
      <c r="M12" s="20">
        <f t="shared" si="3"/>
        <v>1355.7692252159995</v>
      </c>
      <c r="N12" s="20">
        <f t="shared" si="3"/>
        <v>1628.8664970815994</v>
      </c>
      <c r="P12" t="s">
        <v>308</v>
      </c>
    </row>
    <row r="13" spans="1:16" x14ac:dyDescent="0.2">
      <c r="B13" t="s">
        <v>160</v>
      </c>
      <c r="D13" s="59">
        <f>SUMIF($J$28:$J$49, $B$13, $D$28:$D$49)</f>
        <v>-31</v>
      </c>
      <c r="E13" s="59">
        <f>SUMIF($J$28:$J$49, $B13, $E$28:$E$49)</f>
        <v>-25.1</v>
      </c>
      <c r="F13" s="59">
        <f>SUMIF($J$28:$J$49, $B13, $F$28:$F$49)</f>
        <v>-31</v>
      </c>
      <c r="G13" s="59">
        <f>SUMIF($J$28:$J$49, $B13, $G$28:$G$49)</f>
        <v>-36</v>
      </c>
      <c r="H13" s="59">
        <f>SUMIF($J$28:$J$49, $B13, $H$28:$H$49)</f>
        <v>-30</v>
      </c>
      <c r="I13" s="59">
        <f>SUMIF($J$28:$J$49, $B13, $I$28:$I$49)</f>
        <v>-32</v>
      </c>
      <c r="J13" s="16">
        <f>'Revenue &amp; Expenses (updated)'!M49*-1</f>
        <v>-112</v>
      </c>
      <c r="K13" s="16">
        <f>'Revenue &amp; Expenses (updated)'!N49*-1</f>
        <v>-117.20015999999998</v>
      </c>
      <c r="L13" s="16">
        <f>'Revenue &amp; Expenses (updated)'!O49*-1</f>
        <v>-146.48230799999999</v>
      </c>
      <c r="M13" s="16">
        <f>'Revenue &amp; Expenses (updated)'!P49*-1</f>
        <v>-169.47115315199997</v>
      </c>
      <c r="N13" s="16">
        <f>'Revenue &amp; Expenses (updated)'!Q49*-1</f>
        <v>-203.60831213519995</v>
      </c>
      <c r="P13" t="s">
        <v>309</v>
      </c>
    </row>
    <row r="14" spans="1:16" x14ac:dyDescent="0.2">
      <c r="B14" t="s">
        <v>161</v>
      </c>
      <c r="D14" s="59">
        <f>SUMIF($J$28:$J$49, $B$14, $D$28:$D$49)</f>
        <v>-161.1</v>
      </c>
      <c r="E14" s="59">
        <f>SUMIF($J$28:$J$49, $B14, $E$28:$E$49)</f>
        <v>-177.4</v>
      </c>
      <c r="F14" s="59">
        <f>SUMIF($J$28:$J$49, $B14, $F$28:$F$49)</f>
        <v>-182</v>
      </c>
      <c r="G14" s="59">
        <f>SUMIF($J$28:$J$49, $B14, $G$28:$G$49)</f>
        <v>-199</v>
      </c>
      <c r="H14" s="59">
        <f>SUMIF($J$28:$J$49, $B14, $H$28:$H$49)</f>
        <v>-229</v>
      </c>
      <c r="I14" s="59">
        <f>SUMIF($J$28:$J$49, $B14, $I$28:$I$49)</f>
        <v>-290</v>
      </c>
      <c r="J14" s="16">
        <f>'Revenue &amp; Expenses (updated)'!M47*-1</f>
        <v>-252</v>
      </c>
      <c r="K14" s="16">
        <f>'Revenue &amp; Expenses (updated)'!N47*-1</f>
        <v>-263.70035999999993</v>
      </c>
      <c r="L14" s="16">
        <f>'Revenue &amp; Expenses (updated)'!O47*-1</f>
        <v>-329.58519299999995</v>
      </c>
      <c r="M14" s="16">
        <f>'Revenue &amp; Expenses (updated)'!P47*-1</f>
        <v>-381.31009459199993</v>
      </c>
      <c r="N14" s="16">
        <f>'Revenue &amp; Expenses (updated)'!Q47*-1</f>
        <v>-458.11870230419987</v>
      </c>
    </row>
    <row r="15" spans="1:16" x14ac:dyDescent="0.2">
      <c r="B15" s="21" t="s">
        <v>162</v>
      </c>
      <c r="C15" s="22"/>
      <c r="D15" s="65" t="e">
        <f t="shared" ref="D15:I15" si="4">D17+D16</f>
        <v>#REF!</v>
      </c>
      <c r="E15" s="65" t="e">
        <f t="shared" si="4"/>
        <v>#REF!</v>
      </c>
      <c r="F15" s="65" t="e">
        <f t="shared" si="4"/>
        <v>#REF!</v>
      </c>
      <c r="G15" s="65" t="e">
        <f t="shared" si="4"/>
        <v>#REF!</v>
      </c>
      <c r="H15" s="65" t="e">
        <f t="shared" si="4"/>
        <v>#REF!</v>
      </c>
      <c r="I15" s="65" t="e">
        <f t="shared" si="4"/>
        <v>#REF!</v>
      </c>
      <c r="J15" s="20">
        <f>SUM(J12:J14)</f>
        <v>476.00000000000023</v>
      </c>
      <c r="K15" s="20">
        <f t="shared" ref="K15:N15" si="5">SUM(K12:K14)</f>
        <v>527.40072000000009</v>
      </c>
      <c r="L15" s="20">
        <f t="shared" si="5"/>
        <v>695.79096299999992</v>
      </c>
      <c r="M15" s="20">
        <f t="shared" si="5"/>
        <v>804.98797747199967</v>
      </c>
      <c r="N15" s="20">
        <f t="shared" si="5"/>
        <v>967.13948264219971</v>
      </c>
      <c r="P15" t="s">
        <v>349</v>
      </c>
    </row>
    <row r="16" spans="1:16" x14ac:dyDescent="0.2">
      <c r="B16" t="s">
        <v>163</v>
      </c>
      <c r="D16" s="59" t="e">
        <f>#REF!</f>
        <v>#REF!</v>
      </c>
      <c r="E16" s="59" t="e">
        <f>#REF!</f>
        <v>#REF!</v>
      </c>
      <c r="F16" s="59" t="e">
        <f>#REF!</f>
        <v>#REF!</v>
      </c>
      <c r="G16" s="59" t="e">
        <f>#REF!</f>
        <v>#REF!</v>
      </c>
      <c r="H16" s="59" t="e">
        <f>#REF!</f>
        <v>#REF!</v>
      </c>
      <c r="I16" s="66" t="e">
        <f>#REF!</f>
        <v>#REF!</v>
      </c>
      <c r="J16" s="16">
        <f>'FA-Forecast (updated)'!M74</f>
        <v>255.03730059970013</v>
      </c>
      <c r="K16" s="16">
        <f ca="1">'FA-Forecast (updated)'!N74</f>
        <v>262.9899722870947</v>
      </c>
      <c r="L16" s="16">
        <f ca="1">'FA-Forecast (updated)'!O74</f>
        <v>271.64549685498025</v>
      </c>
      <c r="M16" s="16">
        <f ca="1">'FA-Forecast (updated)'!P74</f>
        <v>288.85834270159762</v>
      </c>
      <c r="N16" s="16">
        <f ca="1">'FA-Forecast (updated)'!Q74</f>
        <v>311.58634017572115</v>
      </c>
    </row>
    <row r="17" spans="2:14" x14ac:dyDescent="0.2">
      <c r="B17" s="21" t="s">
        <v>164</v>
      </c>
      <c r="C17" s="22"/>
      <c r="D17" s="67">
        <f t="shared" ref="D17:H17" si="6">SUM(D12,D13:D14)</f>
        <v>62.800000000000097</v>
      </c>
      <c r="E17" s="67">
        <f t="shared" si="6"/>
        <v>68.300000000000068</v>
      </c>
      <c r="F17" s="67">
        <f t="shared" si="6"/>
        <v>117</v>
      </c>
      <c r="G17" s="67">
        <f t="shared" si="6"/>
        <v>158</v>
      </c>
      <c r="H17" s="67">
        <f t="shared" si="6"/>
        <v>161</v>
      </c>
      <c r="I17" s="65">
        <f>SUM(I12,I13:I14)</f>
        <v>186</v>
      </c>
      <c r="J17" s="65">
        <f>J15-J16</f>
        <v>220.9626994003001</v>
      </c>
      <c r="K17" s="65">
        <f t="shared" ref="K17:N17" ca="1" si="7">K15-K16</f>
        <v>264.41074771290539</v>
      </c>
      <c r="L17" s="65">
        <f t="shared" ca="1" si="7"/>
        <v>424.14546614501967</v>
      </c>
      <c r="M17" s="65">
        <f t="shared" ca="1" si="7"/>
        <v>516.12963477040205</v>
      </c>
      <c r="N17" s="65">
        <f t="shared" ca="1" si="7"/>
        <v>655.55314246647856</v>
      </c>
    </row>
    <row r="18" spans="2:14" x14ac:dyDescent="0.2">
      <c r="B18" t="s">
        <v>165</v>
      </c>
      <c r="D18" s="66">
        <f>SUMIF($J$28:$J$49, $B$18, $D$28:$D$49)</f>
        <v>-2.5999999999999996</v>
      </c>
      <c r="E18" s="66">
        <f>SUMIF($J$28:$J$49, $B$18, $E$28:$E$49)</f>
        <v>-9.8000000000000025</v>
      </c>
      <c r="F18" s="66">
        <f>SUMIF($J$28:$J$49, $B18, $F$28:$F$49)</f>
        <v>6</v>
      </c>
      <c r="G18" s="66">
        <f>SUMIF($J$28:$J$49, $B18, $G$28:$G$49)</f>
        <v>7</v>
      </c>
      <c r="H18" s="66">
        <f>SUMIF($J$28:$J$49, $B18, $H$28:$H$49)</f>
        <v>-1</v>
      </c>
      <c r="I18" s="66">
        <f>SUMIF($J$28:$J$49, $B18, $I$28:$I$49)</f>
        <v>-1</v>
      </c>
      <c r="J18">
        <f>'Revenue &amp; Expenses (updated)'!M79</f>
        <v>0</v>
      </c>
      <c r="K18">
        <f>'Revenue &amp; Expenses (updated)'!N79</f>
        <v>0</v>
      </c>
      <c r="L18">
        <f>'Revenue &amp; Expenses (updated)'!O79</f>
        <v>0</v>
      </c>
      <c r="M18">
        <f>'Revenue &amp; Expenses (updated)'!P79</f>
        <v>0</v>
      </c>
      <c r="N18">
        <f>'Revenue &amp; Expenses (updated)'!Q79</f>
        <v>0</v>
      </c>
    </row>
    <row r="19" spans="2:14" x14ac:dyDescent="0.2">
      <c r="B19" s="46" t="s">
        <v>166</v>
      </c>
      <c r="D19" s="59">
        <f>SUMIF($J$28:$J$49, $B$19, $D$28:$D$49)</f>
        <v>-24.6</v>
      </c>
      <c r="E19" s="59">
        <f>SUMIF($J$28:$J$49, $B$19, $E$28:$E$49)</f>
        <v>-133.69999999999999</v>
      </c>
      <c r="F19" s="59">
        <f>SUMIF($J$28:$J$49, $B19, $F$28:$F$49)</f>
        <v>-38</v>
      </c>
      <c r="G19" s="59">
        <f>SUMIF($J$28:$J$49, $B19, $G$28:$G$49)</f>
        <v>-35</v>
      </c>
      <c r="H19" s="59">
        <f>SUMIF($J$28:$J$49, $B19, $H$28:$H$49)</f>
        <v>-64</v>
      </c>
      <c r="I19" s="59">
        <f>SUMIF($J$28:$J$49, $B19, $I$28:$I$49)</f>
        <v>-69</v>
      </c>
      <c r="J19" s="139">
        <f>'Debt &amp; Cash'!K55</f>
        <v>-30.54552</v>
      </c>
      <c r="K19" s="139">
        <f ca="1">'Debt &amp; Cash'!L55</f>
        <v>-45.397015705409991</v>
      </c>
      <c r="L19" s="139">
        <f ca="1">'Debt &amp; Cash'!M55</f>
        <v>-47.472526552565462</v>
      </c>
      <c r="M19" s="139">
        <f ca="1">'Debt &amp; Cash'!N55</f>
        <v>-29.452679061593393</v>
      </c>
      <c r="N19" s="139">
        <f ca="1">'Debt &amp; Cash'!O55</f>
        <v>-30.124390582280085</v>
      </c>
    </row>
    <row r="20" spans="2:14" x14ac:dyDescent="0.2">
      <c r="B20" s="21" t="s">
        <v>167</v>
      </c>
      <c r="C20" s="22"/>
      <c r="D20" s="65">
        <f>D17+SUM(D18:D19)</f>
        <v>35.600000000000094</v>
      </c>
      <c r="E20" s="65">
        <f t="shared" ref="E20:H20" si="8">E17+SUM(E18:E19)</f>
        <v>-75.199999999999932</v>
      </c>
      <c r="F20" s="65">
        <f t="shared" si="8"/>
        <v>85</v>
      </c>
      <c r="G20" s="65">
        <f t="shared" si="8"/>
        <v>130</v>
      </c>
      <c r="H20" s="65">
        <f t="shared" si="8"/>
        <v>96</v>
      </c>
      <c r="I20" s="65">
        <f>I17+SUM(I18:I19)</f>
        <v>116</v>
      </c>
      <c r="J20" s="65">
        <f>SUM(J17:J19)</f>
        <v>190.41717940030009</v>
      </c>
      <c r="K20" s="65">
        <f t="shared" ref="K20:N20" ca="1" si="9">SUM(K17:K19)</f>
        <v>219.01373200749541</v>
      </c>
      <c r="L20" s="65">
        <f t="shared" ca="1" si="9"/>
        <v>376.67293959245421</v>
      </c>
      <c r="M20" s="65">
        <f t="shared" ca="1" si="9"/>
        <v>486.67695570880863</v>
      </c>
      <c r="N20" s="65">
        <f t="shared" ca="1" si="9"/>
        <v>625.4287518841985</v>
      </c>
    </row>
    <row r="21" spans="2:14" x14ac:dyDescent="0.2">
      <c r="B21" s="46" t="s">
        <v>168</v>
      </c>
      <c r="D21" s="64">
        <f>SUMIF($J$28:$J$49, $B$21, $D$28:$D$49)</f>
        <v>-27.4</v>
      </c>
      <c r="E21" s="64">
        <f>SUMIF($J$28:$J$49, $B$21, $E$28:$E$49)</f>
        <v>10.7</v>
      </c>
      <c r="F21" s="64">
        <f>SUMIF($J$28:$J$49, $B21, $F$28:$F$49)</f>
        <v>-22</v>
      </c>
      <c r="G21" s="64">
        <f>SUMIF($J$28:$J$49, $B21, $G$28:$G$49)</f>
        <v>-49</v>
      </c>
      <c r="H21" s="64">
        <f>SUMIF($J$28:$J$49, $B21, $H$28:$H$49)</f>
        <v>-36</v>
      </c>
      <c r="I21" s="64">
        <f>SUMIF($J$28:$J$49, $B21, $I$28:$I$49)</f>
        <v>-12</v>
      </c>
      <c r="J21" s="16">
        <f>IF(J20&gt;0, J20*$C$23*-1, 0)</f>
        <v>-53.888061770284921</v>
      </c>
      <c r="K21" s="16">
        <f t="shared" ref="K21:N21" ca="1" si="10">IF(K20&gt;0, K20*$C$23*-1, 0)</f>
        <v>-61.980886158121194</v>
      </c>
      <c r="L21" s="16">
        <f t="shared" ca="1" si="10"/>
        <v>-106.59844190466453</v>
      </c>
      <c r="M21" s="16">
        <f t="shared" ca="1" si="10"/>
        <v>-137.72957846559282</v>
      </c>
      <c r="N21" s="16">
        <f t="shared" ca="1" si="10"/>
        <v>-176.99633678322817</v>
      </c>
    </row>
    <row r="22" spans="2:14" ht="17" thickBot="1" x14ac:dyDescent="0.25">
      <c r="B22" s="25" t="s">
        <v>169</v>
      </c>
      <c r="C22" s="84"/>
      <c r="D22" s="173">
        <f t="shared" ref="D22:I22" si="11">SUM(D20:D21)</f>
        <v>8.2000000000000952</v>
      </c>
      <c r="E22" s="173">
        <f t="shared" si="11"/>
        <v>-64.499999999999929</v>
      </c>
      <c r="F22" s="173">
        <f t="shared" si="11"/>
        <v>63</v>
      </c>
      <c r="G22" s="173">
        <f t="shared" si="11"/>
        <v>81</v>
      </c>
      <c r="H22" s="173">
        <f t="shared" si="11"/>
        <v>60</v>
      </c>
      <c r="I22" s="173">
        <f t="shared" si="11"/>
        <v>104</v>
      </c>
      <c r="J22" s="173">
        <f t="shared" ref="J22" si="12">SUM(J20:J21)</f>
        <v>136.52911763001515</v>
      </c>
      <c r="K22" s="173">
        <f t="shared" ref="K22" ca="1" si="13">SUM(K20:K21)</f>
        <v>157.03284584937421</v>
      </c>
      <c r="L22" s="173">
        <f t="shared" ref="L22" ca="1" si="14">SUM(L20:L21)</f>
        <v>270.07449768778969</v>
      </c>
      <c r="M22" s="173">
        <f t="shared" ref="M22" ca="1" si="15">SUM(M20:M21)</f>
        <v>348.94737724321578</v>
      </c>
      <c r="N22" s="173">
        <f t="shared" ref="N22" ca="1" si="16">SUM(N20:N21)</f>
        <v>448.43241510097033</v>
      </c>
    </row>
    <row r="23" spans="2:14" x14ac:dyDescent="0.2">
      <c r="B23" s="46" t="s">
        <v>286</v>
      </c>
      <c r="C23" s="109">
        <v>0.28299999999999997</v>
      </c>
      <c r="D23" s="134">
        <f>D21/D20</f>
        <v>-0.76966292134831249</v>
      </c>
      <c r="E23" s="134">
        <f t="shared" ref="E23:N23" si="17">E21/E20</f>
        <v>-0.14228723404255331</v>
      </c>
      <c r="F23" s="134">
        <f t="shared" si="17"/>
        <v>-0.25882352941176473</v>
      </c>
      <c r="G23" s="134">
        <f t="shared" si="17"/>
        <v>-0.37692307692307692</v>
      </c>
      <c r="H23" s="134">
        <f t="shared" si="17"/>
        <v>-0.375</v>
      </c>
      <c r="I23" s="134">
        <f t="shared" si="17"/>
        <v>-0.10344827586206896</v>
      </c>
      <c r="J23" s="134">
        <f t="shared" si="17"/>
        <v>-0.28299999999999997</v>
      </c>
      <c r="K23" s="134">
        <f t="shared" ca="1" si="17"/>
        <v>-0.28299999999999997</v>
      </c>
      <c r="L23" s="134">
        <f t="shared" ca="1" si="17"/>
        <v>-0.28299999999999997</v>
      </c>
      <c r="M23" s="134">
        <f t="shared" ca="1" si="17"/>
        <v>-0.28299999999999997</v>
      </c>
      <c r="N23" s="134">
        <f t="shared" ca="1" si="17"/>
        <v>-0.28299999999999997</v>
      </c>
    </row>
    <row r="24" spans="2:14" x14ac:dyDescent="0.2">
      <c r="D24" s="32"/>
      <c r="I24" s="36"/>
    </row>
    <row r="25" spans="2:14" ht="25" thickBot="1" x14ac:dyDescent="0.35">
      <c r="B25" s="30" t="s">
        <v>13</v>
      </c>
      <c r="C25" s="11"/>
      <c r="D25" s="32"/>
      <c r="I25" s="36"/>
    </row>
    <row r="26" spans="2:14" x14ac:dyDescent="0.2">
      <c r="D26" s="32"/>
      <c r="I26" s="36"/>
    </row>
    <row r="27" spans="2:14" x14ac:dyDescent="0.2">
      <c r="B27" t="s">
        <v>36</v>
      </c>
      <c r="D27" s="32">
        <v>2019</v>
      </c>
      <c r="E27">
        <v>2020</v>
      </c>
      <c r="F27">
        <v>2021</v>
      </c>
      <c r="G27">
        <v>2022</v>
      </c>
      <c r="H27">
        <v>2023</v>
      </c>
      <c r="I27" s="36">
        <v>2024</v>
      </c>
    </row>
    <row r="28" spans="2:14" x14ac:dyDescent="0.2">
      <c r="B28" t="s">
        <v>14</v>
      </c>
      <c r="D28" s="42">
        <v>1114.2</v>
      </c>
      <c r="E28" s="16">
        <v>1206.9000000000001</v>
      </c>
      <c r="F28">
        <v>1474</v>
      </c>
      <c r="G28">
        <v>1707</v>
      </c>
      <c r="H28">
        <v>1847</v>
      </c>
      <c r="I28" s="36">
        <v>2240</v>
      </c>
      <c r="J28" t="s">
        <v>157</v>
      </c>
    </row>
    <row r="29" spans="2:14" x14ac:dyDescent="0.2">
      <c r="B29" t="s">
        <v>15</v>
      </c>
      <c r="D29" s="42">
        <v>-859.3</v>
      </c>
      <c r="E29" s="16">
        <v>-936.1</v>
      </c>
      <c r="F29">
        <v>-1144</v>
      </c>
      <c r="G29">
        <v>-1314</v>
      </c>
      <c r="H29">
        <v>-1427</v>
      </c>
      <c r="I29" s="36">
        <v>-1732</v>
      </c>
      <c r="J29" t="s">
        <v>158</v>
      </c>
    </row>
    <row r="30" spans="2:14" x14ac:dyDescent="0.2">
      <c r="B30" s="14" t="s">
        <v>16</v>
      </c>
      <c r="C30" s="15"/>
      <c r="D30" s="43">
        <v>254.9</v>
      </c>
      <c r="E30" s="19">
        <v>270.8</v>
      </c>
      <c r="F30" s="14">
        <v>330</v>
      </c>
      <c r="G30" s="14">
        <v>393</v>
      </c>
      <c r="H30" s="14">
        <v>420</v>
      </c>
      <c r="I30" s="40">
        <v>508</v>
      </c>
      <c r="J30" s="46" t="s">
        <v>159</v>
      </c>
    </row>
    <row r="31" spans="2:14" x14ac:dyDescent="0.2">
      <c r="B31" t="s">
        <v>17</v>
      </c>
      <c r="D31" s="42">
        <v>-84.8</v>
      </c>
      <c r="E31" s="16">
        <v>-90.2</v>
      </c>
      <c r="F31">
        <v>-99</v>
      </c>
      <c r="G31">
        <v>-107</v>
      </c>
      <c r="H31">
        <v>-111</v>
      </c>
      <c r="I31" s="36">
        <v>-128</v>
      </c>
      <c r="J31" t="s">
        <v>161</v>
      </c>
    </row>
    <row r="32" spans="2:14" x14ac:dyDescent="0.2">
      <c r="B32" t="s">
        <v>18</v>
      </c>
      <c r="D32" s="42">
        <v>-76.3</v>
      </c>
      <c r="E32" s="16">
        <v>-87.2</v>
      </c>
      <c r="F32">
        <v>-83</v>
      </c>
      <c r="G32">
        <v>-92</v>
      </c>
      <c r="H32">
        <v>-118</v>
      </c>
      <c r="I32" s="36">
        <v>-162</v>
      </c>
      <c r="J32" t="s">
        <v>161</v>
      </c>
    </row>
    <row r="33" spans="2:10" x14ac:dyDescent="0.2">
      <c r="B33" t="s">
        <v>19</v>
      </c>
      <c r="D33" s="42">
        <v>-31</v>
      </c>
      <c r="E33" s="16">
        <v>-25.1</v>
      </c>
      <c r="F33">
        <v>-31</v>
      </c>
      <c r="G33">
        <v>-36</v>
      </c>
      <c r="H33">
        <v>-30</v>
      </c>
      <c r="I33" s="36">
        <v>-32</v>
      </c>
      <c r="J33" t="s">
        <v>160</v>
      </c>
    </row>
    <row r="34" spans="2:10" x14ac:dyDescent="0.2">
      <c r="B34" t="s">
        <v>20</v>
      </c>
      <c r="D34" s="42">
        <v>25.3</v>
      </c>
      <c r="E34" s="16">
        <v>18.899999999999999</v>
      </c>
      <c r="F34">
        <v>29</v>
      </c>
      <c r="G34">
        <v>21</v>
      </c>
      <c r="H34">
        <v>22</v>
      </c>
      <c r="I34" s="36">
        <v>22</v>
      </c>
      <c r="J34" t="s">
        <v>165</v>
      </c>
    </row>
    <row r="35" spans="2:10" x14ac:dyDescent="0.2">
      <c r="B35" t="s">
        <v>21</v>
      </c>
      <c r="D35" s="42">
        <v>-24.8</v>
      </c>
      <c r="E35" s="16">
        <v>-16.100000000000001</v>
      </c>
      <c r="F35">
        <v>-18</v>
      </c>
      <c r="G35">
        <v>-21</v>
      </c>
      <c r="H35">
        <v>-21</v>
      </c>
      <c r="I35" s="36">
        <v>-24</v>
      </c>
      <c r="J35" t="s">
        <v>165</v>
      </c>
    </row>
    <row r="36" spans="2:10" x14ac:dyDescent="0.2">
      <c r="B36" t="s">
        <v>30</v>
      </c>
      <c r="D36" s="42">
        <v>-1.2</v>
      </c>
      <c r="E36" s="16">
        <v>-2.6</v>
      </c>
      <c r="F36">
        <v>-2</v>
      </c>
      <c r="G36">
        <v>0</v>
      </c>
      <c r="H36">
        <v>0</v>
      </c>
      <c r="I36" s="36">
        <v>3</v>
      </c>
      <c r="J36" t="s">
        <v>165</v>
      </c>
    </row>
    <row r="37" spans="2:10" x14ac:dyDescent="0.2">
      <c r="B37" t="s">
        <v>31</v>
      </c>
      <c r="C37" s="12"/>
      <c r="D37" s="42">
        <v>0</v>
      </c>
      <c r="E37" s="16">
        <v>0</v>
      </c>
      <c r="F37">
        <v>0</v>
      </c>
      <c r="G37">
        <v>8</v>
      </c>
      <c r="H37">
        <v>5</v>
      </c>
      <c r="I37" s="36">
        <v>-3</v>
      </c>
      <c r="J37" t="s">
        <v>165</v>
      </c>
    </row>
    <row r="38" spans="2:10" x14ac:dyDescent="0.2">
      <c r="B38" s="14" t="s">
        <v>32</v>
      </c>
      <c r="C38" s="15"/>
      <c r="D38" s="43">
        <v>62.1</v>
      </c>
      <c r="E38" s="19">
        <v>68.5</v>
      </c>
      <c r="F38" s="14">
        <v>126</v>
      </c>
      <c r="G38" s="14">
        <v>166</v>
      </c>
      <c r="H38" s="14">
        <v>166</v>
      </c>
      <c r="I38" s="40">
        <v>185</v>
      </c>
    </row>
    <row r="39" spans="2:10" x14ac:dyDescent="0.2">
      <c r="B39" t="s">
        <v>22</v>
      </c>
      <c r="D39" s="42">
        <v>58.9</v>
      </c>
      <c r="E39" s="16">
        <v>4</v>
      </c>
      <c r="F39">
        <v>4</v>
      </c>
      <c r="G39">
        <v>9</v>
      </c>
      <c r="H39">
        <v>18</v>
      </c>
      <c r="I39" s="36">
        <v>31</v>
      </c>
      <c r="J39" t="s">
        <v>166</v>
      </c>
    </row>
    <row r="40" spans="2:10" x14ac:dyDescent="0.2">
      <c r="B40" t="s">
        <v>23</v>
      </c>
      <c r="D40" s="42">
        <v>-83.5</v>
      </c>
      <c r="E40" s="16">
        <v>-137.69999999999999</v>
      </c>
      <c r="F40">
        <v>-42</v>
      </c>
      <c r="G40">
        <v>-44</v>
      </c>
      <c r="H40">
        <v>-82</v>
      </c>
      <c r="I40" s="36">
        <v>-100</v>
      </c>
      <c r="J40" t="s">
        <v>166</v>
      </c>
    </row>
    <row r="41" spans="2:10" x14ac:dyDescent="0.2">
      <c r="B41" t="s">
        <v>34</v>
      </c>
      <c r="D41" s="42">
        <v>-1.9</v>
      </c>
      <c r="E41" s="16">
        <v>-10</v>
      </c>
      <c r="F41">
        <v>-3</v>
      </c>
      <c r="G41">
        <v>-1</v>
      </c>
      <c r="H41">
        <v>-7</v>
      </c>
      <c r="I41" s="36">
        <v>1</v>
      </c>
      <c r="J41" t="s">
        <v>165</v>
      </c>
    </row>
    <row r="42" spans="2:10" x14ac:dyDescent="0.2">
      <c r="B42" s="13" t="s">
        <v>24</v>
      </c>
      <c r="D42" s="42">
        <v>-26.5</v>
      </c>
      <c r="E42" s="16">
        <v>-143.69999999999999</v>
      </c>
      <c r="F42">
        <v>-41</v>
      </c>
      <c r="G42">
        <v>-37</v>
      </c>
      <c r="H42">
        <v>-72</v>
      </c>
      <c r="I42" s="36">
        <v>-68</v>
      </c>
    </row>
    <row r="43" spans="2:10" x14ac:dyDescent="0.2">
      <c r="B43" s="14" t="s">
        <v>26</v>
      </c>
      <c r="C43" s="15"/>
      <c r="D43" s="43">
        <v>35.6</v>
      </c>
      <c r="E43" s="19">
        <v>-75.2</v>
      </c>
      <c r="F43" s="14">
        <v>85</v>
      </c>
      <c r="G43" s="14">
        <v>130</v>
      </c>
      <c r="H43" s="14">
        <v>94</v>
      </c>
      <c r="I43" s="40">
        <v>117</v>
      </c>
    </row>
    <row r="44" spans="2:10" x14ac:dyDescent="0.2">
      <c r="B44" t="s">
        <v>25</v>
      </c>
      <c r="D44" s="42">
        <v>-27.4</v>
      </c>
      <c r="E44" s="16">
        <v>10.7</v>
      </c>
      <c r="F44">
        <v>-22</v>
      </c>
      <c r="G44">
        <v>-49</v>
      </c>
      <c r="H44">
        <v>-36</v>
      </c>
      <c r="I44" s="36">
        <v>-12</v>
      </c>
      <c r="J44" t="s">
        <v>168</v>
      </c>
    </row>
    <row r="45" spans="2:10" x14ac:dyDescent="0.2">
      <c r="B45" s="14" t="s">
        <v>35</v>
      </c>
      <c r="C45" s="15"/>
      <c r="D45" s="43">
        <v>8.1999999999999993</v>
      </c>
      <c r="E45" s="19">
        <v>-64.5</v>
      </c>
      <c r="F45" s="14">
        <v>63</v>
      </c>
      <c r="G45" s="14">
        <v>80</v>
      </c>
      <c r="H45" s="14">
        <v>58</v>
      </c>
      <c r="I45" s="40">
        <v>106</v>
      </c>
    </row>
    <row r="46" spans="2:10" x14ac:dyDescent="0.2">
      <c r="B46" t="s">
        <v>33</v>
      </c>
      <c r="D46" s="42">
        <v>5.9</v>
      </c>
      <c r="E46" s="16">
        <v>-65.2</v>
      </c>
      <c r="F46">
        <v>63</v>
      </c>
      <c r="G46">
        <v>78</v>
      </c>
      <c r="H46">
        <v>56</v>
      </c>
      <c r="I46" s="36">
        <v>108</v>
      </c>
    </row>
    <row r="47" spans="2:10" x14ac:dyDescent="0.2">
      <c r="B47" t="s">
        <v>27</v>
      </c>
      <c r="D47" s="42">
        <v>2.2999999999999998</v>
      </c>
      <c r="E47" s="16">
        <v>0.7</v>
      </c>
      <c r="F47">
        <v>0</v>
      </c>
      <c r="G47">
        <v>2</v>
      </c>
      <c r="H47">
        <v>2</v>
      </c>
      <c r="I47" s="36">
        <v>-2</v>
      </c>
    </row>
    <row r="48" spans="2:10" x14ac:dyDescent="0.2">
      <c r="B48" s="14" t="s">
        <v>28</v>
      </c>
      <c r="C48" s="15"/>
      <c r="D48" s="47"/>
      <c r="E48" s="15"/>
      <c r="F48" s="15"/>
      <c r="G48" s="15"/>
      <c r="H48" s="15"/>
      <c r="I48" s="48"/>
    </row>
    <row r="49" spans="2:9" x14ac:dyDescent="0.2">
      <c r="B49" t="s">
        <v>29</v>
      </c>
      <c r="D49" s="51">
        <v>7.0000000000000007E-2</v>
      </c>
      <c r="E49" s="13">
        <v>-0.75</v>
      </c>
      <c r="F49" s="13">
        <v>0.6</v>
      </c>
      <c r="G49" s="13">
        <v>0.75</v>
      </c>
      <c r="H49" s="13">
        <v>0.53</v>
      </c>
      <c r="I49" s="41">
        <v>0.93</v>
      </c>
    </row>
  </sheetData>
  <phoneticPr fontId="5" type="noConversion"/>
  <conditionalFormatting sqref="A29:A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{A2E8F0F0-17B2-374E-BBE1-5008B4E432EC}</x14:id>
        </ext>
      </extLst>
    </cfRule>
  </conditionalFormatting>
  <dataValidations count="1">
    <dataValidation type="list" allowBlank="1" showInputMessage="1" showErrorMessage="1" sqref="J28:J49" xr:uid="{7BFD6891-CC60-7A42-AF03-32D49AA4C751}">
      <formula1>$B$10:$B$22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E8F0F0-17B2-374E-BBE1-5008B4E432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A29:A51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Hensoldt AG</vt:lpstr>
      <vt:lpstr>Inputs</vt:lpstr>
      <vt:lpstr>IS Neu</vt:lpstr>
      <vt:lpstr>BS Neu</vt:lpstr>
      <vt:lpstr>CF Neu </vt:lpstr>
      <vt:lpstr>Revenue &amp; Expenses (updated)</vt:lpstr>
      <vt:lpstr>FA-Forecast (updated)</vt:lpstr>
      <vt:lpstr>WC &amp; other Assets (updated) </vt:lpstr>
      <vt:lpstr>Debt &amp; Cash</vt:lpstr>
      <vt:lpstr>DCF Valuation </vt:lpstr>
      <vt:lpstr>Competitors KPI's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ufipx</dc:creator>
  <cp:lastModifiedBy>ufipx</cp:lastModifiedBy>
  <dcterms:created xsi:type="dcterms:W3CDTF">2025-09-10T13:05:45Z</dcterms:created>
  <dcterms:modified xsi:type="dcterms:W3CDTF">2025-11-17T10:09:07Z</dcterms:modified>
</cp:coreProperties>
</file>